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inaaleks\Downloads\GitHub\automations\waybills-creation\"/>
    </mc:Choice>
  </mc:AlternateContent>
  <xr:revisionPtr revIDLastSave="0" documentId="13_ncr:1_{DC3AA6F3-D4F4-4F4F-B232-78519BAA27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свод" sheetId="1" r:id="rId1"/>
    <sheet name="ттн образец" sheetId="3" r:id="rId2"/>
  </sheets>
  <definedNames>
    <definedName name="_xlnm.Print_Area" localSheetId="1">'ттн образец'!$A$1:$DD$113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3" i="1"/>
  <c r="O4" i="1"/>
  <c r="O5" i="1"/>
  <c r="O6" i="1"/>
  <c r="O7" i="1"/>
  <c r="O8" i="1"/>
  <c r="O9" i="1"/>
  <c r="O10" i="1"/>
  <c r="O11" i="1"/>
  <c r="O12" i="1"/>
  <c r="O3" i="1"/>
  <c r="L4" i="1"/>
  <c r="L5" i="1"/>
  <c r="L6" i="1"/>
  <c r="L7" i="1"/>
  <c r="L8" i="1"/>
  <c r="L9" i="1"/>
  <c r="L10" i="1"/>
  <c r="L11" i="1"/>
  <c r="L12" i="1"/>
  <c r="L3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D4" i="1"/>
  <c r="D5" i="1"/>
  <c r="D6" i="1"/>
  <c r="D7" i="1"/>
  <c r="D8" i="1"/>
  <c r="D9" i="1"/>
  <c r="D10" i="1"/>
  <c r="D11" i="1"/>
  <c r="D12" i="1"/>
  <c r="D3" i="1"/>
  <c r="R21" i="3"/>
  <c r="L16" i="3"/>
  <c r="O13" i="3"/>
</calcChain>
</file>

<file path=xl/sharedStrings.xml><?xml version="1.0" encoding="utf-8"?>
<sst xmlns="http://schemas.openxmlformats.org/spreadsheetml/2006/main" count="348" uniqueCount="229">
  <si>
    <t>Типовая межотраслевая форма № СП-31</t>
  </si>
  <si>
    <t xml:space="preserve">ТОВАРНО-ТРАНСПОРТНАЯ НАКЛАДНАЯ (зерно) № </t>
  </si>
  <si>
    <t>Коды</t>
  </si>
  <si>
    <t>"</t>
  </si>
  <si>
    <t xml:space="preserve"> г.</t>
  </si>
  <si>
    <t>Форма по ОКУД</t>
  </si>
  <si>
    <t>0325031</t>
  </si>
  <si>
    <t>Дата составления</t>
  </si>
  <si>
    <t>Организация</t>
  </si>
  <si>
    <t>по ОКПО</t>
  </si>
  <si>
    <t>Марка автомобиля</t>
  </si>
  <si>
    <t>Государственный номерной знак</t>
  </si>
  <si>
    <t>к путевому листу №</t>
  </si>
  <si>
    <t xml:space="preserve"> </t>
  </si>
  <si>
    <t>Организация-владелец автотранспорта</t>
  </si>
  <si>
    <t>(наименование, адрес, номер телефона)</t>
  </si>
  <si>
    <t>Водитель</t>
  </si>
  <si>
    <t>коммерческая</t>
  </si>
  <si>
    <t>Заказчик</t>
  </si>
  <si>
    <t>(фамилия, имя, отчество)</t>
  </si>
  <si>
    <t>(вид перевозки)</t>
  </si>
  <si>
    <t>(плательщик)</t>
  </si>
  <si>
    <t>Грузоот-</t>
  </si>
  <si>
    <t>правитель</t>
  </si>
  <si>
    <t>Пункт</t>
  </si>
  <si>
    <t>погрузки</t>
  </si>
  <si>
    <t>Отделение (цех),
бригада, звено</t>
  </si>
  <si>
    <t>(адрес)</t>
  </si>
  <si>
    <t>Грузополучатель</t>
  </si>
  <si>
    <t>разгрузки</t>
  </si>
  <si>
    <t>Маршрут №</t>
  </si>
  <si>
    <t>Прицеп: Государственный номерной знак</t>
  </si>
  <si>
    <t>Гаражный номер</t>
  </si>
  <si>
    <t>Сведения о грузе</t>
  </si>
  <si>
    <t>Счет
(дебет)</t>
  </si>
  <si>
    <t>Счет
(кредит)</t>
  </si>
  <si>
    <t>Продукция</t>
  </si>
  <si>
    <t>(наименование зерновых и масляничных культур, семян, трав)</t>
  </si>
  <si>
    <t>Сорт, класс</t>
  </si>
  <si>
    <t>Засоренность</t>
  </si>
  <si>
    <t xml:space="preserve"> %</t>
  </si>
  <si>
    <t>Влажность</t>
  </si>
  <si>
    <t>Операция</t>
  </si>
  <si>
    <t>Вид
упа-
ковки</t>
  </si>
  <si>
    <t>Коли-
чество</t>
  </si>
  <si>
    <t>Класс
груза</t>
  </si>
  <si>
    <t>Масса, кг</t>
  </si>
  <si>
    <t>Цена, руб. коп.</t>
  </si>
  <si>
    <t>Сумма, руб. коп.</t>
  </si>
  <si>
    <t>брутто</t>
  </si>
  <si>
    <t>тара</t>
  </si>
  <si>
    <t>нетто</t>
  </si>
  <si>
    <t>Отправлено</t>
  </si>
  <si>
    <t>навалом</t>
  </si>
  <si>
    <t>Принято</t>
  </si>
  <si>
    <t>Х</t>
  </si>
  <si>
    <t>За ценные
сорта</t>
  </si>
  <si>
    <t>За сортировку
и упаковку</t>
  </si>
  <si>
    <t>За тару</t>
  </si>
  <si>
    <t>За доставку
продукции</t>
  </si>
  <si>
    <t>Прочие
доплаты</t>
  </si>
  <si>
    <t>Всего к оплате</t>
  </si>
  <si>
    <t>Надбавки - руб. коп.</t>
  </si>
  <si>
    <t>Сумма к</t>
  </si>
  <si>
    <t>оплате</t>
  </si>
  <si>
    <t>(прописью)</t>
  </si>
  <si>
    <t>руб.</t>
  </si>
  <si>
    <t>коп.</t>
  </si>
  <si>
    <t>Отпуск разрешил</t>
  </si>
  <si>
    <t>(должность)</t>
  </si>
  <si>
    <t>(подпись)</t>
  </si>
  <si>
    <t>(расшифровка подписи)</t>
  </si>
  <si>
    <t>Продукцию к перевозке: количество мест</t>
  </si>
  <si>
    <t xml:space="preserve"> массой, нетто, кг</t>
  </si>
  <si>
    <t>сдал</t>
  </si>
  <si>
    <t>принял</t>
  </si>
  <si>
    <t>водитель</t>
  </si>
  <si>
    <t>Приложение</t>
  </si>
  <si>
    <t>на</t>
  </si>
  <si>
    <t>листах</t>
  </si>
  <si>
    <t>(свидетельство, паспорт, сертификаты и т.д.)</t>
  </si>
  <si>
    <t>Оборотная сторона формы № СП-31</t>
  </si>
  <si>
    <t>Продукцию по массе,</t>
  </si>
  <si>
    <t xml:space="preserve"> В весовом журнале
 записано под №</t>
  </si>
  <si>
    <t>качеству и ассортименту</t>
  </si>
  <si>
    <t>Весовщик</t>
  </si>
  <si>
    <t>Способ опреде-
ления массы:</t>
  </si>
  <si>
    <t xml:space="preserve"> при
 приеме</t>
  </si>
  <si>
    <t xml:space="preserve">   при
   сдаче</t>
  </si>
  <si>
    <t>Погрузочно-разгрузочные операции</t>
  </si>
  <si>
    <t>Исполнитель
(АТП, отправитель,
получатель)</t>
  </si>
  <si>
    <r>
      <t xml:space="preserve">Способ
</t>
    </r>
    <r>
      <rPr>
        <sz val="8"/>
        <rFont val="Times New Roman"/>
        <family val="1"/>
        <charset val="204"/>
      </rPr>
      <t>(ручной,
механический)</t>
    </r>
  </si>
  <si>
    <t>Время, ч., мин.</t>
  </si>
  <si>
    <t>прибытия</t>
  </si>
  <si>
    <t>убытия</t>
  </si>
  <si>
    <t>простоя</t>
  </si>
  <si>
    <t xml:space="preserve"> Погрузка</t>
  </si>
  <si>
    <t xml:space="preserve"> Разгрузка</t>
  </si>
  <si>
    <t>Дополнительные операции</t>
  </si>
  <si>
    <t>Подпись ответственного
лица</t>
  </si>
  <si>
    <t>Транспортные услуги</t>
  </si>
  <si>
    <t>время, мин.</t>
  </si>
  <si>
    <t>наименование,
количество</t>
  </si>
  <si>
    <t>Отметки о составленных актах</t>
  </si>
  <si>
    <t>Прочие сведения (заполняется организацией-владельцем автотранспорта)</t>
  </si>
  <si>
    <t>Расстояние перевозки по группам дорог, км</t>
  </si>
  <si>
    <t>Код экспе-
дитора</t>
  </si>
  <si>
    <t>За транспортные услуги</t>
  </si>
  <si>
    <t>всего</t>
  </si>
  <si>
    <t>в городе</t>
  </si>
  <si>
    <t>I группа</t>
  </si>
  <si>
    <t>II группа</t>
  </si>
  <si>
    <t>III группа</t>
  </si>
  <si>
    <t>с клиента</t>
  </si>
  <si>
    <t>водителю</t>
  </si>
  <si>
    <t>Поправочный
коэффициент</t>
  </si>
  <si>
    <t>Расчет
стоимости</t>
  </si>
  <si>
    <t>За тонны</t>
  </si>
  <si>
    <t>расценка
водителю</t>
  </si>
  <si>
    <t>основной
тариф</t>
  </si>
  <si>
    <t>Выполнено</t>
  </si>
  <si>
    <t>Расценка, руб. коп.</t>
  </si>
  <si>
    <t>К оплате, руб. коп.</t>
  </si>
  <si>
    <t>Погрузочно-
разгрузочные
работы,
т</t>
  </si>
  <si>
    <t>Сверхнормативный
простой</t>
  </si>
  <si>
    <t xml:space="preserve">
Прочие
доплаты</t>
  </si>
  <si>
    <t xml:space="preserve">
Скидка за
сокращение
простоя</t>
  </si>
  <si>
    <t>Всего</t>
  </si>
  <si>
    <t>Таксировка:</t>
  </si>
  <si>
    <t>погрузка</t>
  </si>
  <si>
    <t>разгрузка</t>
  </si>
  <si>
    <t>Таксировщик</t>
  </si>
  <si>
    <t>Декларация соответствия</t>
  </si>
  <si>
    <t>id</t>
  </si>
  <si>
    <t>номер</t>
  </si>
  <si>
    <t>день</t>
  </si>
  <si>
    <t>месяц</t>
  </si>
  <si>
    <t>год</t>
  </si>
  <si>
    <t>организация</t>
  </si>
  <si>
    <t>марка_авто</t>
  </si>
  <si>
    <t>гос_номер</t>
  </si>
  <si>
    <t>орг_владелец_авто</t>
  </si>
  <si>
    <t>заказчик</t>
  </si>
  <si>
    <t>грузоотправитель</t>
  </si>
  <si>
    <t>пункт_погрузки</t>
  </si>
  <si>
    <t>грузополучатель</t>
  </si>
  <si>
    <t>пункт_разгрузки</t>
  </si>
  <si>
    <t>прицеп_гос_номер</t>
  </si>
  <si>
    <t>продукция</t>
  </si>
  <si>
    <t>отпуск_должность</t>
  </si>
  <si>
    <t>отпуск_фио</t>
  </si>
  <si>
    <t>сдал_должность</t>
  </si>
  <si>
    <t>сдал_фио</t>
  </si>
  <si>
    <t>принял_фио</t>
  </si>
  <si>
    <t>приложение</t>
  </si>
  <si>
    <t>дата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</si>
  <si>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</si>
  <si>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</si>
  <si>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</si>
  <si>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</si>
  <si>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</si>
  <si>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</si>
  <si>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</si>
  <si>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</si>
  <si>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</si>
  <si>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</si>
  <si>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ООО "АБВ"</t>
  </si>
  <si>
    <t>КАМАЗ</t>
  </si>
  <si>
    <t>МАЗ</t>
  </si>
  <si>
    <t>Мерседес</t>
  </si>
  <si>
    <t>Вольво</t>
  </si>
  <si>
    <t>О975ВВ761</t>
  </si>
  <si>
    <t>СК214461</t>
  </si>
  <si>
    <t>А123МР777</t>
  </si>
  <si>
    <t>ВЕ547391</t>
  </si>
  <si>
    <t>М456ЕХ163</t>
  </si>
  <si>
    <t>РТ932854</t>
  </si>
  <si>
    <t>Т789АН402</t>
  </si>
  <si>
    <t>МН678912</t>
  </si>
  <si>
    <t>В321ОО599</t>
  </si>
  <si>
    <t>АП456782</t>
  </si>
  <si>
    <t>К654РМ750</t>
  </si>
  <si>
    <t>ЕС327109</t>
  </si>
  <si>
    <t>Н987НН222</t>
  </si>
  <si>
    <t>ТР894567</t>
  </si>
  <si>
    <t>С246ЕТ888</t>
  </si>
  <si>
    <t>ОК213478</t>
  </si>
  <si>
    <t>Р135РТ311</t>
  </si>
  <si>
    <t>КМ765981</t>
  </si>
  <si>
    <t>У864УН049</t>
  </si>
  <si>
    <t>СХ432156</t>
  </si>
  <si>
    <t>ООО "УФХ"</t>
  </si>
  <si>
    <t>водитель_фио_полное</t>
  </si>
  <si>
    <t>Водитель 1</t>
  </si>
  <si>
    <t>Водитель 2</t>
  </si>
  <si>
    <t>Водитель 3</t>
  </si>
  <si>
    <t>Водитель 4</t>
  </si>
  <si>
    <t>Водитель 5</t>
  </si>
  <si>
    <t>Водитель 6</t>
  </si>
  <si>
    <t>Водитель 7</t>
  </si>
  <si>
    <t>Водитель 8</t>
  </si>
  <si>
    <t>Водитель 9</t>
  </si>
  <si>
    <t>Водитель 10</t>
  </si>
  <si>
    <t>Краснодарский край</t>
  </si>
  <si>
    <t>ИП ВГД</t>
  </si>
  <si>
    <t>Ростовская обл.</t>
  </si>
  <si>
    <t>пшеница</t>
  </si>
  <si>
    <t>директор</t>
  </si>
  <si>
    <t>Директор 1</t>
  </si>
  <si>
    <t>Директор 2</t>
  </si>
  <si>
    <t>Директор 3</t>
  </si>
  <si>
    <t>Директор 4</t>
  </si>
  <si>
    <t>Директор 5</t>
  </si>
  <si>
    <t>Директор 6</t>
  </si>
  <si>
    <t>Директор 7</t>
  </si>
  <si>
    <t>Директор 8</t>
  </si>
  <si>
    <t>Директор 9</t>
  </si>
  <si>
    <t>Директор 10</t>
  </si>
  <si>
    <t>кладовщик</t>
  </si>
  <si>
    <t>Кладовщик 1</t>
  </si>
  <si>
    <t>Кладовщик 2</t>
  </si>
  <si>
    <t>Кладовщик 3</t>
  </si>
  <si>
    <t>Кладовщик 4</t>
  </si>
  <si>
    <t>Кладовщик 5</t>
  </si>
  <si>
    <t>Кладовщик 6</t>
  </si>
  <si>
    <t>Кладовщик 7</t>
  </si>
  <si>
    <t>Кладовщик 8</t>
  </si>
  <si>
    <t>Кладовщик 9</t>
  </si>
  <si>
    <t>Кладовщик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</si>
</sst>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94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/>
    </xf>
    <xf numFmtId="0" fontId="3" fillId="0" borderId="0" xfId="1" applyFont="1"/>
    <xf numFmtId="49" fontId="4" fillId="0" borderId="0" xfId="1" applyNumberFormat="1" applyFont="1" applyAlignment="1">
      <alignment vertical="top"/>
    </xf>
    <xf numFmtId="49" fontId="4" fillId="0" borderId="0" xfId="1" applyNumberFormat="1" applyFont="1" applyAlignment="1">
      <alignment horizontal="right" vertical="top"/>
    </xf>
    <xf numFmtId="0" fontId="5" fillId="0" borderId="0" xfId="1" applyFont="1" applyAlignment="1">
      <alignment horizontal="right"/>
    </xf>
    <xf numFmtId="49" fontId="5" fillId="2" borderId="0" xfId="1" applyNumberFormat="1" applyFont="1" applyFill="1"/>
    <xf numFmtId="49" fontId="2" fillId="2" borderId="0" xfId="1" applyNumberFormat="1" applyFont="1" applyFill="1"/>
    <xf numFmtId="0" fontId="5" fillId="0" borderId="0" xfId="1" applyFont="1"/>
    <xf numFmtId="0" fontId="2" fillId="0" borderId="0" xfId="1" applyFont="1" applyAlignment="1">
      <alignment horizontal="right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vertical="top"/>
    </xf>
    <xf numFmtId="0" fontId="2" fillId="0" borderId="0" xfId="1" applyFont="1" applyAlignment="1">
      <alignment horizontal="center"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right"/>
    </xf>
    <xf numFmtId="49" fontId="2" fillId="0" borderId="0" xfId="1" applyNumberFormat="1" applyFont="1" applyAlignment="1">
      <alignment horizontal="center" vertical="center"/>
    </xf>
    <xf numFmtId="49" fontId="2" fillId="0" borderId="22" xfId="1" applyNumberFormat="1" applyFont="1" applyBorder="1"/>
    <xf numFmtId="49" fontId="2" fillId="0" borderId="25" xfId="1" applyNumberFormat="1" applyFont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7" fillId="0" borderId="0" xfId="1" applyFont="1"/>
    <xf numFmtId="0" fontId="8" fillId="0" borderId="0" xfId="1" applyFont="1"/>
    <xf numFmtId="0" fontId="2" fillId="0" borderId="0" xfId="0" applyFont="1"/>
    <xf numFmtId="0" fontId="2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95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3" xfId="0" applyFont="1" applyBorder="1"/>
    <xf numFmtId="0" fontId="2" fillId="0" borderId="17" xfId="0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0" fontId="2" fillId="0" borderId="36" xfId="0" applyFont="1" applyBorder="1"/>
    <xf numFmtId="0" fontId="2" fillId="0" borderId="76" xfId="0" applyFont="1" applyBorder="1"/>
    <xf numFmtId="0" fontId="7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/>
    </xf>
    <xf numFmtId="0" fontId="2" fillId="0" borderId="9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4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top"/>
    </xf>
    <xf numFmtId="0" fontId="2" fillId="0" borderId="43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top"/>
    </xf>
    <xf numFmtId="0" fontId="2" fillId="0" borderId="96" xfId="0" applyFont="1" applyBorder="1" applyAlignment="1">
      <alignment horizontal="center" vertical="top"/>
    </xf>
    <xf numFmtId="0" fontId="2" fillId="0" borderId="97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01" xfId="0" applyFont="1" applyBorder="1" applyAlignment="1">
      <alignment horizontal="center" vertical="top"/>
    </xf>
    <xf numFmtId="0" fontId="2" fillId="0" borderId="76" xfId="0" applyFont="1" applyBorder="1" applyAlignment="1">
      <alignment vertical="top"/>
    </xf>
    <xf numFmtId="0" fontId="2" fillId="0" borderId="77" xfId="0" applyFont="1" applyBorder="1" applyAlignment="1">
      <alignment vertical="top"/>
    </xf>
    <xf numFmtId="0" fontId="2" fillId="0" borderId="82" xfId="0" applyFont="1" applyBorder="1" applyAlignment="1">
      <alignment horizontal="center" vertical="top"/>
    </xf>
    <xf numFmtId="0" fontId="2" fillId="0" borderId="62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top"/>
    </xf>
    <xf numFmtId="0" fontId="2" fillId="0" borderId="61" xfId="0" applyFont="1" applyBorder="1" applyAlignment="1">
      <alignment horizontal="center" vertical="top"/>
    </xf>
    <xf numFmtId="0" fontId="2" fillId="0" borderId="63" xfId="0" applyFont="1" applyBorder="1" applyAlignment="1">
      <alignment horizontal="center" vertical="top"/>
    </xf>
    <xf numFmtId="0" fontId="2" fillId="0" borderId="94" xfId="0" applyFont="1" applyBorder="1" applyAlignment="1">
      <alignment horizontal="center" vertical="top"/>
    </xf>
    <xf numFmtId="0" fontId="2" fillId="0" borderId="81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/>
    </xf>
    <xf numFmtId="0" fontId="2" fillId="0" borderId="4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5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/>
    </xf>
    <xf numFmtId="0" fontId="2" fillId="0" borderId="46" xfId="0" applyFont="1" applyBorder="1" applyAlignment="1">
      <alignment horizontal="center" vertical="top"/>
    </xf>
    <xf numFmtId="0" fontId="2" fillId="0" borderId="51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top"/>
    </xf>
    <xf numFmtId="0" fontId="2" fillId="0" borderId="67" xfId="0" applyFont="1" applyBorder="1" applyAlignment="1">
      <alignment horizontal="center" vertical="top"/>
    </xf>
    <xf numFmtId="0" fontId="2" fillId="0" borderId="68" xfId="0" applyFont="1" applyBorder="1" applyAlignment="1">
      <alignment horizontal="center" vertical="top"/>
    </xf>
    <xf numFmtId="0" fontId="2" fillId="0" borderId="92" xfId="0" applyFont="1" applyBorder="1" applyAlignment="1">
      <alignment horizontal="center" vertical="top"/>
    </xf>
    <xf numFmtId="0" fontId="2" fillId="0" borderId="73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27" xfId="0" applyFont="1" applyBorder="1" applyAlignment="1">
      <alignment vertical="top"/>
    </xf>
    <xf numFmtId="0" fontId="2" fillId="0" borderId="98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99" xfId="0" applyFont="1" applyBorder="1" applyAlignment="1">
      <alignment horizontal="center" vertical="top"/>
    </xf>
    <xf numFmtId="0" fontId="2" fillId="0" borderId="36" xfId="0" applyFont="1" applyBorder="1"/>
    <xf numFmtId="0" fontId="2" fillId="0" borderId="64" xfId="0" applyFont="1" applyBorder="1"/>
    <xf numFmtId="0" fontId="2" fillId="0" borderId="74" xfId="0" applyFont="1" applyBorder="1" applyAlignment="1">
      <alignment horizontal="center" vertical="top"/>
    </xf>
    <xf numFmtId="0" fontId="2" fillId="0" borderId="93" xfId="0" applyFont="1" applyBorder="1" applyAlignment="1">
      <alignment horizontal="center" vertical="top"/>
    </xf>
    <xf numFmtId="0" fontId="2" fillId="0" borderId="70" xfId="0" applyFont="1" applyBorder="1" applyAlignment="1">
      <alignment horizontal="center"/>
    </xf>
    <xf numFmtId="0" fontId="2" fillId="0" borderId="104" xfId="0" applyFont="1" applyBorder="1" applyAlignment="1">
      <alignment horizontal="center"/>
    </xf>
    <xf numFmtId="0" fontId="2" fillId="0" borderId="32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42" xfId="0" applyFont="1" applyBorder="1" applyAlignment="1">
      <alignment horizontal="center" vertical="top" wrapText="1"/>
    </xf>
    <xf numFmtId="0" fontId="2" fillId="0" borderId="43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102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49" fontId="2" fillId="0" borderId="69" xfId="0" applyNumberFormat="1" applyFont="1" applyBorder="1" applyAlignment="1">
      <alignment horizontal="center"/>
    </xf>
    <xf numFmtId="49" fontId="2" fillId="0" borderId="70" xfId="0" applyNumberFormat="1" applyFont="1" applyBorder="1" applyAlignment="1">
      <alignment horizontal="center"/>
    </xf>
    <xf numFmtId="49" fontId="2" fillId="0" borderId="71" xfId="0" applyNumberFormat="1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99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98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2" fillId="0" borderId="44" xfId="0" applyFont="1" applyBorder="1" applyAlignment="1">
      <alignment horizontal="center" wrapText="1"/>
    </xf>
    <xf numFmtId="0" fontId="2" fillId="0" borderId="100" xfId="0" applyFont="1" applyBorder="1" applyAlignment="1">
      <alignment horizontal="center" wrapText="1"/>
    </xf>
    <xf numFmtId="0" fontId="2" fillId="0" borderId="56" xfId="0" applyFont="1" applyBorder="1" applyAlignment="1">
      <alignment horizontal="center" wrapText="1"/>
    </xf>
    <xf numFmtId="0" fontId="2" fillId="0" borderId="57" xfId="0" applyFont="1" applyBorder="1" applyAlignment="1">
      <alignment horizontal="center" wrapText="1"/>
    </xf>
    <xf numFmtId="0" fontId="2" fillId="0" borderId="4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32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2" fillId="0" borderId="74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2" fillId="0" borderId="75" xfId="0" applyFont="1" applyBorder="1" applyAlignment="1">
      <alignment vertical="top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59" xfId="0" applyFont="1" applyBorder="1" applyAlignment="1">
      <alignment horizontal="center" vertical="top" wrapText="1"/>
    </xf>
    <xf numFmtId="0" fontId="2" fillId="0" borderId="58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48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65" xfId="0" applyFont="1" applyBorder="1" applyAlignment="1">
      <alignment horizontal="center" vertical="top" wrapText="1"/>
    </xf>
    <xf numFmtId="0" fontId="2" fillId="0" borderId="9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9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90" xfId="0" applyFont="1" applyBorder="1" applyAlignment="1">
      <alignment horizontal="center" vertical="top"/>
    </xf>
    <xf numFmtId="0" fontId="2" fillId="0" borderId="58" xfId="0" applyFont="1" applyBorder="1" applyAlignment="1">
      <alignment horizontal="center" vertical="top"/>
    </xf>
    <xf numFmtId="0" fontId="2" fillId="0" borderId="59" xfId="0" applyFont="1" applyBorder="1" applyAlignment="1">
      <alignment horizontal="center" vertical="top"/>
    </xf>
    <xf numFmtId="0" fontId="2" fillId="0" borderId="48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7" fillId="0" borderId="3" xfId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84" xfId="1" applyFont="1" applyBorder="1" applyAlignment="1">
      <alignment horizontal="center"/>
    </xf>
    <xf numFmtId="0" fontId="2" fillId="0" borderId="85" xfId="1" applyFont="1" applyBorder="1" applyAlignment="1">
      <alignment horizontal="center"/>
    </xf>
    <xf numFmtId="0" fontId="2" fillId="0" borderId="86" xfId="1" applyFont="1" applyBorder="1" applyAlignment="1">
      <alignment horizontal="center"/>
    </xf>
    <xf numFmtId="0" fontId="2" fillId="0" borderId="87" xfId="1" applyFont="1" applyBorder="1" applyAlignment="1">
      <alignment horizontal="center"/>
    </xf>
    <xf numFmtId="0" fontId="2" fillId="0" borderId="88" xfId="1" applyFont="1" applyBorder="1" applyAlignment="1">
      <alignment horizontal="center"/>
    </xf>
    <xf numFmtId="0" fontId="2" fillId="0" borderId="58" xfId="1" applyFont="1" applyBorder="1" applyAlignment="1">
      <alignment horizontal="center" vertical="top"/>
    </xf>
    <xf numFmtId="0" fontId="2" fillId="0" borderId="14" xfId="1" applyFont="1" applyBorder="1" applyAlignment="1">
      <alignment horizontal="center" vertical="top"/>
    </xf>
    <xf numFmtId="0" fontId="2" fillId="0" borderId="59" xfId="1" applyFont="1" applyBorder="1" applyAlignment="1">
      <alignment horizontal="center" vertical="top"/>
    </xf>
    <xf numFmtId="0" fontId="2" fillId="0" borderId="61" xfId="1" applyFont="1" applyBorder="1" applyAlignment="1">
      <alignment horizontal="center" vertical="top"/>
    </xf>
    <xf numFmtId="0" fontId="2" fillId="0" borderId="62" xfId="1" applyFont="1" applyBorder="1" applyAlignment="1">
      <alignment horizontal="center" vertical="top"/>
    </xf>
    <xf numFmtId="0" fontId="2" fillId="0" borderId="83" xfId="1" applyFont="1" applyBorder="1" applyAlignment="1">
      <alignment horizontal="center" vertical="top"/>
    </xf>
    <xf numFmtId="0" fontId="2" fillId="0" borderId="63" xfId="1" applyFont="1" applyBorder="1" applyAlignment="1">
      <alignment horizontal="center" vertical="top"/>
    </xf>
    <xf numFmtId="0" fontId="2" fillId="2" borderId="53" xfId="1" applyFont="1" applyFill="1" applyBorder="1" applyAlignment="1">
      <alignment horizontal="center" vertical="center"/>
    </xf>
    <xf numFmtId="0" fontId="2" fillId="2" borderId="72" xfId="1" applyFont="1" applyFill="1" applyBorder="1" applyAlignment="1">
      <alignment horizontal="center" vertical="center"/>
    </xf>
    <xf numFmtId="0" fontId="2" fillId="0" borderId="61" xfId="1" applyFont="1" applyBorder="1" applyAlignment="1">
      <alignment horizontal="center" vertical="center"/>
    </xf>
    <xf numFmtId="0" fontId="2" fillId="0" borderId="62" xfId="1" applyFont="1" applyBorder="1" applyAlignment="1">
      <alignment horizontal="center" vertical="center"/>
    </xf>
    <xf numFmtId="0" fontId="2" fillId="0" borderId="81" xfId="1" applyFont="1" applyBorder="1" applyAlignment="1">
      <alignment horizontal="center" vertical="center"/>
    </xf>
    <xf numFmtId="0" fontId="2" fillId="0" borderId="82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top" wrapText="1"/>
    </xf>
    <xf numFmtId="0" fontId="3" fillId="0" borderId="36" xfId="1" applyFont="1" applyBorder="1" applyAlignment="1">
      <alignment horizontal="center" vertical="top" wrapText="1"/>
    </xf>
    <xf numFmtId="0" fontId="3" fillId="0" borderId="37" xfId="1" applyFont="1" applyBorder="1" applyAlignment="1">
      <alignment horizontal="center" vertical="top" wrapText="1"/>
    </xf>
    <xf numFmtId="0" fontId="3" fillId="0" borderId="50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51" xfId="1" applyFont="1" applyBorder="1" applyAlignment="1">
      <alignment horizontal="center" vertical="top" wrapText="1"/>
    </xf>
    <xf numFmtId="0" fontId="3" fillId="0" borderId="36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3" fillId="0" borderId="35" xfId="1" applyFont="1" applyBorder="1" applyAlignment="1">
      <alignment horizontal="center" vertical="top"/>
    </xf>
    <xf numFmtId="0" fontId="3" fillId="0" borderId="37" xfId="1" applyFont="1" applyBorder="1" applyAlignment="1">
      <alignment horizontal="center" vertical="top"/>
    </xf>
    <xf numFmtId="0" fontId="3" fillId="0" borderId="50" xfId="1" applyFont="1" applyBorder="1" applyAlignment="1">
      <alignment horizontal="center" vertical="top"/>
    </xf>
    <xf numFmtId="0" fontId="3" fillId="0" borderId="51" xfId="1" applyFont="1" applyBorder="1" applyAlignment="1">
      <alignment horizontal="center" vertical="top"/>
    </xf>
    <xf numFmtId="0" fontId="2" fillId="0" borderId="66" xfId="1" applyFont="1" applyBorder="1" applyAlignment="1">
      <alignment horizontal="center" vertical="center"/>
    </xf>
    <xf numFmtId="0" fontId="2" fillId="0" borderId="67" xfId="1" applyFont="1" applyBorder="1" applyAlignment="1">
      <alignment horizontal="center" vertical="center"/>
    </xf>
    <xf numFmtId="0" fontId="2" fillId="0" borderId="73" xfId="1" applyFont="1" applyBorder="1" applyAlignment="1">
      <alignment horizontal="center" vertical="center"/>
    </xf>
    <xf numFmtId="0" fontId="2" fillId="0" borderId="74" xfId="1" applyFont="1" applyBorder="1" applyAlignment="1">
      <alignment horizontal="center" vertical="center"/>
    </xf>
    <xf numFmtId="0" fontId="2" fillId="0" borderId="76" xfId="1" applyFont="1" applyBorder="1" applyAlignment="1">
      <alignment horizontal="left" vertical="center"/>
    </xf>
    <xf numFmtId="0" fontId="2" fillId="0" borderId="77" xfId="1" applyFont="1" applyBorder="1" applyAlignment="1">
      <alignment horizontal="left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65" xfId="1" applyNumberFormat="1" applyFont="1" applyBorder="1" applyAlignment="1">
      <alignment horizontal="center" vertical="center"/>
    </xf>
    <xf numFmtId="0" fontId="2" fillId="0" borderId="68" xfId="1" applyFont="1" applyBorder="1" applyAlignment="1">
      <alignment horizontal="center" vertical="center"/>
    </xf>
    <xf numFmtId="0" fontId="2" fillId="0" borderId="78" xfId="1" applyFont="1" applyBorder="1" applyAlignment="1">
      <alignment horizontal="center" vertical="center"/>
    </xf>
    <xf numFmtId="0" fontId="2" fillId="0" borderId="79" xfId="1" applyFont="1" applyBorder="1" applyAlignment="1">
      <alignment horizontal="center" vertical="center"/>
    </xf>
    <xf numFmtId="0" fontId="2" fillId="0" borderId="80" xfId="1" applyFont="1" applyBorder="1" applyAlignment="1">
      <alignment horizontal="center" vertical="center"/>
    </xf>
    <xf numFmtId="0" fontId="2" fillId="0" borderId="60" xfId="1" applyFont="1" applyBorder="1" applyAlignment="1">
      <alignment horizontal="center" vertical="top"/>
    </xf>
    <xf numFmtId="0" fontId="2" fillId="0" borderId="35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75" xfId="1" applyFont="1" applyBorder="1" applyAlignment="1">
      <alignment horizontal="center"/>
    </xf>
    <xf numFmtId="0" fontId="2" fillId="0" borderId="76" xfId="1" applyFont="1" applyBorder="1" applyAlignment="1">
      <alignment horizontal="center"/>
    </xf>
    <xf numFmtId="0" fontId="2" fillId="0" borderId="36" xfId="1" applyFont="1" applyBorder="1" applyAlignment="1">
      <alignment horizontal="left" vertical="center"/>
    </xf>
    <xf numFmtId="0" fontId="2" fillId="0" borderId="64" xfId="1" applyFont="1" applyBorder="1" applyAlignment="1">
      <alignment horizontal="left" vertical="center"/>
    </xf>
    <xf numFmtId="0" fontId="2" fillId="0" borderId="69" xfId="1" applyFont="1" applyBorder="1" applyAlignment="1">
      <alignment horizontal="center" vertical="center"/>
    </xf>
    <xf numFmtId="0" fontId="2" fillId="0" borderId="70" xfId="1" applyFont="1" applyBorder="1" applyAlignment="1">
      <alignment horizontal="center" vertical="center"/>
    </xf>
    <xf numFmtId="0" fontId="2" fillId="0" borderId="71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top"/>
    </xf>
    <xf numFmtId="0" fontId="2" fillId="0" borderId="56" xfId="1" applyFont="1" applyBorder="1" applyAlignment="1">
      <alignment horizontal="center" vertical="top"/>
    </xf>
    <xf numFmtId="0" fontId="2" fillId="0" borderId="57" xfId="1" applyFont="1" applyBorder="1" applyAlignment="1">
      <alignment horizontal="center" vertical="top"/>
    </xf>
    <xf numFmtId="49" fontId="2" fillId="0" borderId="1" xfId="1" applyNumberFormat="1" applyFont="1" applyBorder="1" applyAlignment="1">
      <alignment horizont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49" fontId="2" fillId="0" borderId="30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26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2" fillId="0" borderId="24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49" fontId="2" fillId="0" borderId="23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2" fillId="0" borderId="25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wrapText="1"/>
    </xf>
    <xf numFmtId="0" fontId="2" fillId="2" borderId="0" xfId="1" applyFont="1" applyFill="1" applyAlignment="1">
      <alignment vertical="center" wrapText="1"/>
    </xf>
    <xf numFmtId="0" fontId="1" fillId="2" borderId="0" xfId="1" applyFill="1" applyAlignment="1">
      <alignment vertical="center" wrapText="1"/>
    </xf>
    <xf numFmtId="0" fontId="1" fillId="2" borderId="1" xfId="1" applyFill="1" applyBorder="1" applyAlignment="1">
      <alignment vertical="center" wrapText="1"/>
    </xf>
    <xf numFmtId="49" fontId="2" fillId="0" borderId="16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left" wrapText="1"/>
    </xf>
    <xf numFmtId="49" fontId="2" fillId="0" borderId="21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wrapText="1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wrapText="1"/>
    </xf>
    <xf numFmtId="49" fontId="3" fillId="2" borderId="9" xfId="1" applyNumberFormat="1" applyFont="1" applyFill="1" applyBorder="1" applyAlignment="1">
      <alignment horizontal="center"/>
    </xf>
    <xf numFmtId="49" fontId="2" fillId="2" borderId="9" xfId="1" applyNumberFormat="1" applyFont="1" applyFill="1" applyBorder="1" applyAlignment="1">
      <alignment horizont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top"/>
    </xf>
    <xf numFmtId="49" fontId="2" fillId="0" borderId="2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/>
    </xf>
    <xf numFmtId="49" fontId="5" fillId="0" borderId="0" xfId="1" applyNumberFormat="1" applyFont="1" applyAlignment="1">
      <alignment horizontal="right"/>
    </xf>
    <xf numFmtId="49" fontId="5" fillId="2" borderId="1" xfId="1" applyNumberFormat="1" applyFont="1" applyFill="1" applyBorder="1"/>
    <xf numFmtId="49" fontId="2" fillId="0" borderId="7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vertical="top" wrapText="1"/>
    </xf>
  </cellXfs>
  <cellStyles count="2">
    <cellStyle name="Normal" xfId="0" builtinId="0"/>
    <cellStyle name="Обычный 3" xfId="1" xr:uid="{5330C3EC-3E98-44BB-B814-C41DEEF87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workbookViewId="0"/>
  </sheetViews>
  <sheetFormatPr defaultRowHeight="14.5" x14ac:dyDescent="0.35"/>
  <cols>
    <col min="1" max="1" width="9.90625" bestFit="1" customWidth="1"/>
    <col min="3" max="3" width="7" customWidth="1"/>
    <col min="4" max="4" width="5" customWidth="1"/>
    <col min="6" max="6" width="4.6328125" customWidth="1"/>
    <col min="7" max="7" width="11.453125" customWidth="1"/>
    <col min="9" max="9" width="10.36328125" customWidth="1"/>
    <col min="10" max="10" width="11.08984375" customWidth="1"/>
    <col min="11" max="11" width="11.26953125" customWidth="1"/>
    <col min="12" max="12" width="9.7265625" customWidth="1"/>
    <col min="13" max="13" width="11.54296875" customWidth="1"/>
    <col min="17" max="17" width="10.6328125" customWidth="1"/>
    <col min="23" max="23" width="11.54296875" customWidth="1"/>
    <col min="25" max="26" width="11.36328125" customWidth="1"/>
  </cols>
  <sheetData>
    <row r="1" spans="1:27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</row>
    <row r="2" spans="1:27" s="393" customFormat="1" ht="43.5" x14ac:dyDescent="0.35">
      <c r="A2" s="393" t="s">
        <v>155</v>
      </c>
      <c r="B2" s="393" t="s">
        <v>133</v>
      </c>
      <c r="C2" s="393" t="s">
        <v>134</v>
      </c>
      <c r="D2" s="393" t="s">
        <v>135</v>
      </c>
      <c r="E2" s="393" t="s">
        <v>136</v>
      </c>
      <c r="F2" s="393" t="s">
        <v>137</v>
      </c>
      <c r="G2" s="393" t="s">
        <v>138</v>
      </c>
      <c r="H2" s="393" t="s">
        <v>139</v>
      </c>
      <c r="I2" s="393" t="s">
        <v>140</v>
      </c>
      <c r="J2" s="393" t="s">
        <v>141</v>
      </c>
      <c r="K2" s="393" t="s">
        <v>192</v>
      </c>
      <c r="L2" s="393" t="s">
        <v>142</v>
      </c>
      <c r="M2" s="393" t="s">
        <v>143</v>
      </c>
      <c r="N2" s="393" t="s">
        <v>144</v>
      </c>
      <c r="O2" s="393" t="s">
        <v>145</v>
      </c>
      <c r="P2" s="393" t="s">
        <v>146</v>
      </c>
      <c r="Q2" s="393" t="s">
        <v>147</v>
      </c>
      <c r="R2" s="393" t="s">
        <v>148</v>
      </c>
      <c r="S2" s="393" t="s">
        <v>49</v>
      </c>
      <c r="T2" s="393" t="s">
        <v>50</v>
      </c>
      <c r="U2" s="393" t="s">
        <v>51</v>
      </c>
      <c r="V2" s="393" t="s">
        <v>149</v>
      </c>
      <c r="W2" s="393" t="s">
        <v>150</v>
      </c>
      <c r="X2" s="393" t="s">
        <v>151</v>
      </c>
      <c r="Y2" s="393" t="s">
        <v>152</v>
      </c>
      <c r="Z2" s="393" t="s">
        <v>153</v>
      </c>
      <c r="AA2" s="393" t="s">
        <v>154</v>
      </c>
    </row>
    <row r="3" spans="1:27" x14ac:dyDescent="0.35">
      <c r="A3" s="392">
        <v>45915</v>
      </c>
      <c r="B3">
        <v>1</v>
      </c>
      <c r="C3" s="391" t="s">
        <v>156</v>
      </c>
      <c r="D3">
        <f>DAY(A3)</f>
        <v>15</v>
      </c>
      <c r="E3" t="str">
        <f>CHOOSE(MONTH(A3),"января","февраля","марта","апреля","мая","июня","июля","августа","сентября","октября","ноября","декабря")</f>
        <v>сентября</v>
      </c>
      <c r="F3">
        <f>MOD(YEAR(A3),100)</f>
        <v>25</v>
      </c>
      <c r="G3" t="s">
        <v>166</v>
      </c>
      <c r="H3" t="s">
        <v>167</v>
      </c>
      <c r="I3" t="s">
        <v>171</v>
      </c>
      <c r="J3" t="s">
        <v>204</v>
      </c>
      <c r="K3" t="s">
        <v>193</v>
      </c>
      <c r="L3" t="str">
        <f>G3</f>
        <v>ООО "АБВ"</v>
      </c>
      <c r="M3" t="s">
        <v>191</v>
      </c>
      <c r="N3" t="s">
        <v>203</v>
      </c>
      <c r="O3" t="str">
        <f>G3</f>
        <v>ООО "АБВ"</v>
      </c>
      <c r="P3" t="s">
        <v>205</v>
      </c>
      <c r="Q3" t="s">
        <v>172</v>
      </c>
      <c r="R3" t="s">
        <v>206</v>
      </c>
      <c r="S3">
        <v>34600</v>
      </c>
      <c r="T3">
        <v>15220</v>
      </c>
      <c r="U3">
        <v>19380</v>
      </c>
      <c r="V3" t="s">
        <v>207</v>
      </c>
      <c r="W3" t="s">
        <v>208</v>
      </c>
      <c r="X3" t="s">
        <v>218</v>
      </c>
      <c r="Y3" t="s">
        <v>219</v>
      </c>
      <c r="Z3" t="str">
        <f>K3</f>
        <v>Водитель 1</v>
      </c>
      <c r="AA3" t="s">
        <v>132</v>
      </c>
    </row>
    <row r="4" spans="1:27" x14ac:dyDescent="0.35">
      <c r="A4" s="392">
        <v>45915</v>
      </c>
      <c r="B4">
        <v>2</v>
      </c>
      <c r="C4" s="391" t="s">
        <v>157</v>
      </c>
      <c r="D4">
        <f t="shared" ref="D4:D12" si="0">DAY(A4)</f>
        <v>15</v>
      </c>
      <c r="E4" t="str">
        <f t="shared" ref="E4:E12" si="1">CHOOSE(MONTH(A4),"января","февраля","марта","апреля","мая","июня","июля","августа","сентября","октября","ноября","декабря")</f>
        <v>сентября</v>
      </c>
      <c r="F4">
        <f t="shared" ref="F4:F12" si="2">MOD(YEAR(A4),100)</f>
        <v>25</v>
      </c>
      <c r="G4" t="s">
        <v>166</v>
      </c>
      <c r="H4" t="s">
        <v>167</v>
      </c>
      <c r="I4" t="s">
        <v>173</v>
      </c>
      <c r="J4" t="s">
        <v>204</v>
      </c>
      <c r="K4" t="s">
        <v>194</v>
      </c>
      <c r="L4" t="str">
        <f t="shared" ref="L4:L12" si="3">G4</f>
        <v>ООО "АБВ"</v>
      </c>
      <c r="M4" t="s">
        <v>191</v>
      </c>
      <c r="N4" t="s">
        <v>203</v>
      </c>
      <c r="O4" t="str">
        <f t="shared" ref="O4:O12" si="4">G4</f>
        <v>ООО "АБВ"</v>
      </c>
      <c r="P4" t="s">
        <v>205</v>
      </c>
      <c r="Q4" t="s">
        <v>174</v>
      </c>
      <c r="R4" t="s">
        <v>206</v>
      </c>
      <c r="S4">
        <v>35120</v>
      </c>
      <c r="T4">
        <v>14850</v>
      </c>
      <c r="U4">
        <v>20270</v>
      </c>
      <c r="V4" t="s">
        <v>207</v>
      </c>
      <c r="W4" t="s">
        <v>209</v>
      </c>
      <c r="X4" t="s">
        <v>218</v>
      </c>
      <c r="Y4" t="s">
        <v>220</v>
      </c>
      <c r="Z4" t="str">
        <f t="shared" ref="Z4:Z12" si="5">K4</f>
        <v>Водитель 2</v>
      </c>
      <c r="AA4" t="s">
        <v>132</v>
      </c>
    </row>
    <row r="5" spans="1:27" x14ac:dyDescent="0.35">
      <c r="A5" s="392">
        <v>45915</v>
      </c>
      <c r="B5">
        <v>3</v>
      </c>
      <c r="C5" s="391" t="s">
        <v>158</v>
      </c>
      <c r="D5">
        <f t="shared" si="0"/>
        <v>15</v>
      </c>
      <c r="E5" t="str">
        <f t="shared" si="1"/>
        <v>сентября</v>
      </c>
      <c r="F5">
        <f t="shared" si="2"/>
        <v>25</v>
      </c>
      <c r="G5" t="s">
        <v>166</v>
      </c>
      <c r="H5" t="s">
        <v>168</v>
      </c>
      <c r="I5" t="s">
        <v>175</v>
      </c>
      <c r="J5" t="s">
        <v>204</v>
      </c>
      <c r="K5" t="s">
        <v>195</v>
      </c>
      <c r="L5" t="str">
        <f t="shared" si="3"/>
        <v>ООО "АБВ"</v>
      </c>
      <c r="M5" t="s">
        <v>191</v>
      </c>
      <c r="N5" t="s">
        <v>203</v>
      </c>
      <c r="O5" t="str">
        <f t="shared" si="4"/>
        <v>ООО "АБВ"</v>
      </c>
      <c r="P5" t="s">
        <v>205</v>
      </c>
      <c r="Q5" t="s">
        <v>176</v>
      </c>
      <c r="R5" t="s">
        <v>206</v>
      </c>
      <c r="S5">
        <v>33890</v>
      </c>
      <c r="T5">
        <v>15640</v>
      </c>
      <c r="U5">
        <v>18250</v>
      </c>
      <c r="V5" t="s">
        <v>207</v>
      </c>
      <c r="W5" t="s">
        <v>210</v>
      </c>
      <c r="X5" t="s">
        <v>218</v>
      </c>
      <c r="Y5" t="s">
        <v>221</v>
      </c>
      <c r="Z5" t="str">
        <f t="shared" si="5"/>
        <v>Водитель 3</v>
      </c>
      <c r="AA5" t="s">
        <v>132</v>
      </c>
    </row>
    <row r="6" spans="1:27" x14ac:dyDescent="0.35">
      <c r="A6" s="392">
        <v>45950</v>
      </c>
      <c r="B6">
        <v>4</v>
      </c>
      <c r="C6" s="391" t="s">
        <v>159</v>
      </c>
      <c r="D6">
        <f t="shared" si="0"/>
        <v>20</v>
      </c>
      <c r="E6" t="str">
        <f t="shared" si="1"/>
        <v>октября</v>
      </c>
      <c r="F6">
        <f t="shared" si="2"/>
        <v>25</v>
      </c>
      <c r="G6" t="s">
        <v>166</v>
      </c>
      <c r="H6" t="s">
        <v>169</v>
      </c>
      <c r="I6" t="s">
        <v>177</v>
      </c>
      <c r="J6" t="s">
        <v>204</v>
      </c>
      <c r="K6" t="s">
        <v>196</v>
      </c>
      <c r="L6" t="str">
        <f t="shared" si="3"/>
        <v>ООО "АБВ"</v>
      </c>
      <c r="M6" t="s">
        <v>191</v>
      </c>
      <c r="N6" t="s">
        <v>203</v>
      </c>
      <c r="O6" t="str">
        <f t="shared" si="4"/>
        <v>ООО "АБВ"</v>
      </c>
      <c r="P6" t="s">
        <v>205</v>
      </c>
      <c r="Q6" t="s">
        <v>178</v>
      </c>
      <c r="R6" t="s">
        <v>206</v>
      </c>
      <c r="S6">
        <v>35980</v>
      </c>
      <c r="T6">
        <v>14320</v>
      </c>
      <c r="U6">
        <v>21660</v>
      </c>
      <c r="V6" t="s">
        <v>207</v>
      </c>
      <c r="W6" t="s">
        <v>211</v>
      </c>
      <c r="X6" t="s">
        <v>218</v>
      </c>
      <c r="Y6" t="s">
        <v>222</v>
      </c>
      <c r="Z6" t="str">
        <f t="shared" si="5"/>
        <v>Водитель 4</v>
      </c>
      <c r="AA6" t="s">
        <v>132</v>
      </c>
    </row>
    <row r="7" spans="1:27" ht="29" x14ac:dyDescent="0.35">
      <c r="A7" s="392">
        <v>45951</v>
      </c>
      <c r="B7">
        <v>5</v>
      </c>
      <c r="C7" s="391" t="s">
        <v>160</v>
      </c>
      <c r="D7">
        <f t="shared" si="0"/>
        <v>21</v>
      </c>
      <c r="E7" t="str">
        <f t="shared" si="1"/>
        <v>октября</v>
      </c>
      <c r="F7">
        <f t="shared" si="2"/>
        <v>25</v>
      </c>
      <c r="G7" t="s">
        <v>166</v>
      </c>
      <c r="H7" t="s">
        <v>167</v>
      </c>
      <c r="I7" s="390" t="s">
        <v>179</v>
      </c>
      <c r="J7" t="s">
        <v>204</v>
      </c>
      <c r="K7" t="s">
        <v>197</v>
      </c>
      <c r="L7" t="str">
        <f t="shared" si="3"/>
        <v>ООО "АБВ"</v>
      </c>
      <c r="M7" t="s">
        <v>191</v>
      </c>
      <c r="N7" t="s">
        <v>203</v>
      </c>
      <c r="O7" t="str">
        <f t="shared" si="4"/>
        <v>ООО "АБВ"</v>
      </c>
      <c r="P7" t="s">
        <v>205</v>
      </c>
      <c r="Q7" s="390" t="s">
        <v>180</v>
      </c>
      <c r="R7" t="s">
        <v>206</v>
      </c>
      <c r="S7" s="390">
        <v>32750</v>
      </c>
      <c r="T7" s="390">
        <v>15910</v>
      </c>
      <c r="U7">
        <v>16840</v>
      </c>
      <c r="V7" t="s">
        <v>207</v>
      </c>
      <c r="W7" t="s">
        <v>212</v>
      </c>
      <c r="X7" t="s">
        <v>218</v>
      </c>
      <c r="Y7" t="s">
        <v>223</v>
      </c>
      <c r="Z7" t="str">
        <f t="shared" si="5"/>
        <v>Водитель 5</v>
      </c>
      <c r="AA7" t="s">
        <v>132</v>
      </c>
    </row>
    <row r="8" spans="1:27" x14ac:dyDescent="0.35">
      <c r="A8" s="392">
        <v>45952</v>
      </c>
      <c r="B8">
        <v>6</v>
      </c>
      <c r="C8" s="391" t="s">
        <v>161</v>
      </c>
      <c r="D8">
        <f t="shared" si="0"/>
        <v>22</v>
      </c>
      <c r="E8" t="str">
        <f t="shared" si="1"/>
        <v>октября</v>
      </c>
      <c r="F8">
        <f t="shared" si="2"/>
        <v>25</v>
      </c>
      <c r="G8" t="s">
        <v>166</v>
      </c>
      <c r="H8" t="s">
        <v>167</v>
      </c>
      <c r="I8" t="s">
        <v>181</v>
      </c>
      <c r="J8" t="s">
        <v>204</v>
      </c>
      <c r="K8" t="s">
        <v>198</v>
      </c>
      <c r="L8" t="str">
        <f t="shared" si="3"/>
        <v>ООО "АБВ"</v>
      </c>
      <c r="M8" t="s">
        <v>191</v>
      </c>
      <c r="N8" t="s">
        <v>203</v>
      </c>
      <c r="O8" t="str">
        <f t="shared" si="4"/>
        <v>ООО "АБВ"</v>
      </c>
      <c r="P8" t="s">
        <v>205</v>
      </c>
      <c r="Q8" t="s">
        <v>182</v>
      </c>
      <c r="R8" t="s">
        <v>206</v>
      </c>
      <c r="S8">
        <v>34410</v>
      </c>
      <c r="T8">
        <v>15180</v>
      </c>
      <c r="U8">
        <v>19230</v>
      </c>
      <c r="V8" t="s">
        <v>207</v>
      </c>
      <c r="W8" t="s">
        <v>213</v>
      </c>
      <c r="X8" t="s">
        <v>218</v>
      </c>
      <c r="Y8" t="s">
        <v>224</v>
      </c>
      <c r="Z8" t="str">
        <f t="shared" si="5"/>
        <v>Водитель 6</v>
      </c>
      <c r="AA8" t="s">
        <v>132</v>
      </c>
    </row>
    <row r="9" spans="1:27" x14ac:dyDescent="0.35">
      <c r="A9" s="392">
        <v>46000</v>
      </c>
      <c r="B9">
        <v>7</v>
      </c>
      <c r="C9" s="391" t="s">
        <v>162</v>
      </c>
      <c r="D9">
        <f t="shared" si="0"/>
        <v>9</v>
      </c>
      <c r="E9" t="str">
        <f t="shared" si="1"/>
        <v>декабря</v>
      </c>
      <c r="F9">
        <f t="shared" si="2"/>
        <v>25</v>
      </c>
      <c r="G9" t="s">
        <v>166</v>
      </c>
      <c r="H9" t="s">
        <v>168</v>
      </c>
      <c r="I9" t="s">
        <v>183</v>
      </c>
      <c r="J9" t="s">
        <v>204</v>
      </c>
      <c r="K9" t="s">
        <v>199</v>
      </c>
      <c r="L9" t="str">
        <f t="shared" si="3"/>
        <v>ООО "АБВ"</v>
      </c>
      <c r="M9" t="s">
        <v>191</v>
      </c>
      <c r="N9" t="s">
        <v>203</v>
      </c>
      <c r="O9" t="str">
        <f t="shared" si="4"/>
        <v>ООО "АБВ"</v>
      </c>
      <c r="P9" t="s">
        <v>205</v>
      </c>
      <c r="Q9" t="s">
        <v>184</v>
      </c>
      <c r="R9" t="s">
        <v>206</v>
      </c>
      <c r="S9">
        <v>35560</v>
      </c>
      <c r="T9">
        <v>14790</v>
      </c>
      <c r="U9">
        <v>20770</v>
      </c>
      <c r="V9" t="s">
        <v>207</v>
      </c>
      <c r="W9" t="s">
        <v>214</v>
      </c>
      <c r="X9" t="s">
        <v>218</v>
      </c>
      <c r="Y9" t="s">
        <v>225</v>
      </c>
      <c r="Z9" t="str">
        <f t="shared" si="5"/>
        <v>Водитель 7</v>
      </c>
      <c r="AA9" t="s">
        <v>132</v>
      </c>
    </row>
    <row r="10" spans="1:27" x14ac:dyDescent="0.35">
      <c r="A10" s="392">
        <v>46045</v>
      </c>
      <c r="B10">
        <v>8</v>
      </c>
      <c r="C10" s="391" t="s">
        <v>163</v>
      </c>
      <c r="D10">
        <f t="shared" si="0"/>
        <v>23</v>
      </c>
      <c r="E10" t="str">
        <f t="shared" si="1"/>
        <v>января</v>
      </c>
      <c r="F10">
        <f t="shared" si="2"/>
        <v>26</v>
      </c>
      <c r="G10" t="s">
        <v>166</v>
      </c>
      <c r="H10" t="s">
        <v>169</v>
      </c>
      <c r="I10" t="s">
        <v>185</v>
      </c>
      <c r="J10" t="s">
        <v>204</v>
      </c>
      <c r="K10" t="s">
        <v>200</v>
      </c>
      <c r="L10" t="str">
        <f t="shared" si="3"/>
        <v>ООО "АБВ"</v>
      </c>
      <c r="M10" t="s">
        <v>191</v>
      </c>
      <c r="N10" t="s">
        <v>203</v>
      </c>
      <c r="O10" t="str">
        <f t="shared" si="4"/>
        <v>ООО "АБВ"</v>
      </c>
      <c r="P10" t="s">
        <v>205</v>
      </c>
      <c r="Q10" t="s">
        <v>186</v>
      </c>
      <c r="R10" t="s">
        <v>206</v>
      </c>
      <c r="S10">
        <v>33280</v>
      </c>
      <c r="T10">
        <v>15460</v>
      </c>
      <c r="U10">
        <v>17820</v>
      </c>
      <c r="V10" t="s">
        <v>207</v>
      </c>
      <c r="W10" t="s">
        <v>215</v>
      </c>
      <c r="X10" t="s">
        <v>218</v>
      </c>
      <c r="Y10" t="s">
        <v>226</v>
      </c>
      <c r="Z10" t="str">
        <f t="shared" si="5"/>
        <v>Водитель 8</v>
      </c>
      <c r="AA10" t="s">
        <v>132</v>
      </c>
    </row>
    <row r="11" spans="1:27" x14ac:dyDescent="0.35">
      <c r="A11" s="392">
        <v>46083</v>
      </c>
      <c r="B11">
        <v>9</v>
      </c>
      <c r="C11" s="391" t="s">
        <v>164</v>
      </c>
      <c r="D11">
        <f t="shared" si="0"/>
        <v>2</v>
      </c>
      <c r="E11" t="str">
        <f t="shared" si="1"/>
        <v>марта</v>
      </c>
      <c r="F11">
        <f t="shared" si="2"/>
        <v>26</v>
      </c>
      <c r="G11" t="s">
        <v>166</v>
      </c>
      <c r="H11" t="s">
        <v>170</v>
      </c>
      <c r="I11" t="s">
        <v>187</v>
      </c>
      <c r="J11" t="s">
        <v>204</v>
      </c>
      <c r="K11" t="s">
        <v>201</v>
      </c>
      <c r="L11" t="str">
        <f t="shared" si="3"/>
        <v>ООО "АБВ"</v>
      </c>
      <c r="M11" t="s">
        <v>191</v>
      </c>
      <c r="N11" t="s">
        <v>203</v>
      </c>
      <c r="O11" t="str">
        <f t="shared" si="4"/>
        <v>ООО "АБВ"</v>
      </c>
      <c r="P11" t="s">
        <v>205</v>
      </c>
      <c r="Q11" t="s">
        <v>188</v>
      </c>
      <c r="R11" t="s">
        <v>206</v>
      </c>
      <c r="S11">
        <v>34870</v>
      </c>
      <c r="T11">
        <v>14950</v>
      </c>
      <c r="U11">
        <v>19920</v>
      </c>
      <c r="V11" t="s">
        <v>207</v>
      </c>
      <c r="W11" t="s">
        <v>216</v>
      </c>
      <c r="X11" t="s">
        <v>218</v>
      </c>
      <c r="Y11" t="s">
        <v>227</v>
      </c>
      <c r="Z11" t="str">
        <f t="shared" si="5"/>
        <v>Водитель 9</v>
      </c>
      <c r="AA11" t="s">
        <v>132</v>
      </c>
    </row>
    <row r="12" spans="1:27" x14ac:dyDescent="0.35">
      <c r="A12" s="392">
        <v>46180</v>
      </c>
      <c r="B12">
        <v>10</v>
      </c>
      <c r="C12" s="391" t="s">
        <v>165</v>
      </c>
      <c r="D12">
        <f t="shared" si="0"/>
        <v>7</v>
      </c>
      <c r="E12" t="str">
        <f t="shared" si="1"/>
        <v>июня</v>
      </c>
      <c r="F12">
        <f t="shared" si="2"/>
        <v>26</v>
      </c>
      <c r="G12" t="s">
        <v>166</v>
      </c>
      <c r="H12" t="s">
        <v>170</v>
      </c>
      <c r="I12" t="s">
        <v>189</v>
      </c>
      <c r="J12" t="s">
        <v>204</v>
      </c>
      <c r="K12" t="s">
        <v>202</v>
      </c>
      <c r="L12" t="str">
        <f t="shared" si="3"/>
        <v>ООО "АБВ"</v>
      </c>
      <c r="M12" t="s">
        <v>191</v>
      </c>
      <c r="N12" t="s">
        <v>203</v>
      </c>
      <c r="O12" t="str">
        <f t="shared" si="4"/>
        <v>ООО "АБВ"</v>
      </c>
      <c r="P12" t="s">
        <v>205</v>
      </c>
      <c r="Q12" t="s">
        <v>190</v>
      </c>
      <c r="R12" t="s">
        <v>206</v>
      </c>
      <c r="S12">
        <v>36240</v>
      </c>
      <c r="T12">
        <v>14130</v>
      </c>
      <c r="U12">
        <v>22110</v>
      </c>
      <c r="V12" t="s">
        <v>207</v>
      </c>
      <c r="W12" t="s">
        <v>217</v>
      </c>
      <c r="X12" t="s">
        <v>218</v>
      </c>
      <c r="Y12" t="s">
        <v>228</v>
      </c>
      <c r="Z12" t="str">
        <f t="shared" si="5"/>
        <v>Водитель 10</v>
      </c>
      <c r="AA12" t="s">
        <v>132</v>
      </c>
    </row>
    <row r="13" spans="1:27" x14ac:dyDescent="0.35">
      <c r="C13" s="391"/>
    </row>
    <row r="14" spans="1:27" x14ac:dyDescent="0.35">
      <c r="C14" s="391"/>
    </row>
    <row r="15" spans="1:27" x14ac:dyDescent="0.35">
      <c r="C15" s="391"/>
    </row>
    <row r="16" spans="1:27" x14ac:dyDescent="0.35">
      <c r="C16" s="391"/>
    </row>
    <row r="17" spans="3:3" x14ac:dyDescent="0.35">
      <c r="C17" s="391"/>
    </row>
    <row r="18" spans="3:3" x14ac:dyDescent="0.35">
      <c r="C18" s="391"/>
    </row>
    <row r="19" spans="3:3" x14ac:dyDescent="0.35">
      <c r="C19" s="39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DFCB-3CCB-4813-92E8-CD1F9FBAA968}">
  <dimension ref="A1:DE113"/>
  <sheetViews>
    <sheetView view="pageBreakPreview" zoomScaleNormal="100" zoomScaleSheetLayoutView="100" workbookViewId="0">
      <selection activeCell="DE1" sqref="DE1"/>
    </sheetView>
  </sheetViews>
  <sheetFormatPr defaultColWidth="0.90625" defaultRowHeight="11.5" x14ac:dyDescent="0.25"/>
  <cols>
    <col min="1" max="108" width="0.90625" style="1"/>
    <col min="109" max="109" width="8.08984375" style="1" customWidth="1"/>
    <col min="110" max="16384" width="0.90625" style="1"/>
  </cols>
  <sheetData>
    <row r="1" spans="2:109" x14ac:dyDescent="0.25">
      <c r="DD1" s="2" t="s">
        <v>0</v>
      </c>
      <c r="DE1" s="10" t="s">
        <v>133</v>
      </c>
    </row>
    <row r="2" spans="2:109" x14ac:dyDescent="0.25">
      <c r="BF2" s="3"/>
    </row>
    <row r="3" spans="2:109" ht="14.5" thickBot="1" x14ac:dyDescent="0.3"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5" t="s">
        <v>1</v>
      </c>
      <c r="BT3" s="383"/>
      <c r="BU3" s="383"/>
      <c r="BV3" s="383"/>
      <c r="BW3" s="383"/>
      <c r="BX3" s="383"/>
      <c r="BY3" s="383"/>
      <c r="BZ3" s="383"/>
      <c r="CA3" s="383"/>
      <c r="CS3" s="384" t="s">
        <v>2</v>
      </c>
      <c r="CT3" s="337"/>
      <c r="CU3" s="337"/>
      <c r="CV3" s="337"/>
      <c r="CW3" s="337"/>
      <c r="CX3" s="337"/>
      <c r="CY3" s="337"/>
      <c r="CZ3" s="337"/>
      <c r="DA3" s="337"/>
      <c r="DB3" s="337"/>
      <c r="DC3" s="337"/>
      <c r="DD3" s="385"/>
    </row>
    <row r="4" spans="2:109" ht="15" customHeight="1" x14ac:dyDescent="0.3">
      <c r="AH4" s="6" t="s">
        <v>3</v>
      </c>
      <c r="AI4" s="386"/>
      <c r="AJ4" s="386"/>
      <c r="AK4" s="386"/>
      <c r="AL4" s="386"/>
      <c r="AM4" s="7" t="s">
        <v>3</v>
      </c>
      <c r="AN4" s="8"/>
      <c r="AO4" s="386"/>
      <c r="AP4" s="386"/>
      <c r="AQ4" s="386"/>
      <c r="AR4" s="386"/>
      <c r="AS4" s="386"/>
      <c r="AT4" s="386"/>
      <c r="AU4" s="386"/>
      <c r="AV4" s="386"/>
      <c r="AW4" s="386"/>
      <c r="AX4" s="386"/>
      <c r="AY4" s="386"/>
      <c r="AZ4" s="386"/>
      <c r="BA4" s="387">
        <v>20</v>
      </c>
      <c r="BB4" s="387"/>
      <c r="BC4" s="387"/>
      <c r="BD4" s="387"/>
      <c r="BE4" s="388"/>
      <c r="BF4" s="388"/>
      <c r="BG4" s="388"/>
      <c r="BH4" s="388"/>
      <c r="BI4" s="9" t="s">
        <v>4</v>
      </c>
      <c r="CP4" s="10" t="s">
        <v>5</v>
      </c>
      <c r="CS4" s="282" t="s">
        <v>6</v>
      </c>
      <c r="CT4" s="283"/>
      <c r="CU4" s="283"/>
      <c r="CV4" s="283"/>
      <c r="CW4" s="283"/>
      <c r="CX4" s="283"/>
      <c r="CY4" s="283"/>
      <c r="CZ4" s="283"/>
      <c r="DA4" s="283"/>
      <c r="DB4" s="283"/>
      <c r="DC4" s="283"/>
      <c r="DD4" s="389"/>
    </row>
    <row r="5" spans="2:109" ht="15" customHeight="1" x14ac:dyDescent="0.25">
      <c r="CP5" s="10" t="s">
        <v>7</v>
      </c>
      <c r="CS5" s="372"/>
      <c r="CT5" s="373"/>
      <c r="CU5" s="373"/>
      <c r="CV5" s="374"/>
      <c r="CW5" s="375"/>
      <c r="CX5" s="373"/>
      <c r="CY5" s="373"/>
      <c r="CZ5" s="374"/>
      <c r="DA5" s="375"/>
      <c r="DB5" s="373"/>
      <c r="DC5" s="373"/>
      <c r="DD5" s="376"/>
    </row>
    <row r="6" spans="2:109" ht="41" customHeight="1" x14ac:dyDescent="0.25">
      <c r="B6" s="1" t="s">
        <v>8</v>
      </c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  <c r="AA6" s="377"/>
      <c r="AB6" s="377"/>
      <c r="AC6" s="377"/>
      <c r="AD6" s="377"/>
      <c r="AE6" s="377"/>
      <c r="AF6" s="377"/>
      <c r="AG6" s="377"/>
      <c r="AH6" s="377"/>
      <c r="AI6" s="377"/>
      <c r="AJ6" s="377"/>
      <c r="AK6" s="377"/>
      <c r="AL6" s="377"/>
      <c r="AM6" s="377"/>
      <c r="AN6" s="377"/>
      <c r="AO6" s="377"/>
      <c r="AP6" s="377"/>
      <c r="AQ6" s="377"/>
      <c r="AR6" s="377"/>
      <c r="AS6" s="377"/>
      <c r="AT6" s="377"/>
      <c r="AU6" s="377"/>
      <c r="AV6" s="377"/>
      <c r="AW6" s="377"/>
      <c r="AX6" s="377"/>
      <c r="AY6" s="377"/>
      <c r="AZ6" s="377"/>
      <c r="BA6" s="377"/>
      <c r="BB6" s="377"/>
      <c r="BC6" s="377"/>
      <c r="BD6" s="377"/>
      <c r="BE6" s="377"/>
      <c r="BF6" s="377"/>
      <c r="BG6" s="377"/>
      <c r="BH6" s="377"/>
      <c r="BI6" s="377"/>
      <c r="BJ6" s="377"/>
      <c r="BK6" s="377"/>
      <c r="BL6" s="377"/>
      <c r="BM6" s="377"/>
      <c r="BN6" s="377"/>
      <c r="BO6" s="377"/>
      <c r="BP6" s="377"/>
      <c r="BQ6" s="377"/>
      <c r="BR6" s="377"/>
      <c r="BS6" s="377"/>
      <c r="BT6" s="377"/>
      <c r="BU6" s="377"/>
      <c r="BV6" s="377"/>
      <c r="BW6" s="377"/>
      <c r="BX6" s="377"/>
      <c r="BY6" s="377"/>
      <c r="BZ6" s="377"/>
      <c r="CA6" s="377"/>
      <c r="CB6" s="377"/>
      <c r="CC6" s="377"/>
      <c r="CD6" s="377"/>
      <c r="CE6" s="377"/>
      <c r="CF6" s="377"/>
      <c r="CP6" s="10" t="s">
        <v>9</v>
      </c>
      <c r="CS6" s="372"/>
      <c r="CT6" s="373"/>
      <c r="CU6" s="373"/>
      <c r="CV6" s="373"/>
      <c r="CW6" s="373"/>
      <c r="CX6" s="373"/>
      <c r="CY6" s="373"/>
      <c r="CZ6" s="373"/>
      <c r="DA6" s="373"/>
      <c r="DB6" s="373"/>
      <c r="DC6" s="373"/>
      <c r="DD6" s="376"/>
    </row>
    <row r="7" spans="2:109" ht="15" customHeight="1" thickBot="1" x14ac:dyDescent="0.3">
      <c r="B7" s="1" t="s">
        <v>10</v>
      </c>
      <c r="S7" s="378"/>
      <c r="T7" s="378"/>
      <c r="U7" s="378"/>
      <c r="V7" s="378"/>
      <c r="W7" s="378"/>
      <c r="X7" s="378"/>
      <c r="Y7" s="378"/>
      <c r="Z7" s="378"/>
      <c r="AA7" s="378"/>
      <c r="AB7" s="378"/>
      <c r="AC7" s="378"/>
      <c r="AD7" s="378"/>
      <c r="AE7" s="378"/>
      <c r="AF7" s="378"/>
      <c r="AH7" s="1" t="s">
        <v>11</v>
      </c>
      <c r="BK7" s="379"/>
      <c r="BL7" s="379"/>
      <c r="BM7" s="379"/>
      <c r="BN7" s="379"/>
      <c r="BO7" s="379"/>
      <c r="BP7" s="379"/>
      <c r="BQ7" s="379"/>
      <c r="BR7" s="379"/>
      <c r="BS7" s="379"/>
      <c r="BT7" s="379"/>
      <c r="BU7" s="379"/>
      <c r="BV7" s="379"/>
      <c r="BW7" s="379"/>
      <c r="BX7" s="379"/>
      <c r="CP7" s="10" t="s">
        <v>12</v>
      </c>
      <c r="CS7" s="380"/>
      <c r="CT7" s="381"/>
      <c r="CU7" s="381"/>
      <c r="CV7" s="381"/>
      <c r="CW7" s="381"/>
      <c r="CX7" s="381"/>
      <c r="CY7" s="381"/>
      <c r="CZ7" s="381"/>
      <c r="DA7" s="381"/>
      <c r="DB7" s="381"/>
      <c r="DC7" s="381"/>
      <c r="DD7" s="382"/>
    </row>
    <row r="8" spans="2:109" ht="9" customHeight="1" x14ac:dyDescent="0.25">
      <c r="BY8" s="1" t="s">
        <v>13</v>
      </c>
    </row>
    <row r="9" spans="2:109" ht="24.65" customHeight="1" x14ac:dyDescent="0.3">
      <c r="B9" s="1" t="s">
        <v>14</v>
      </c>
      <c r="AJ9" s="371"/>
      <c r="AK9" s="371"/>
      <c r="AL9" s="371"/>
      <c r="AM9" s="371"/>
      <c r="AN9" s="371"/>
      <c r="AO9" s="371"/>
      <c r="AP9" s="371"/>
      <c r="AQ9" s="371"/>
      <c r="AR9" s="371"/>
      <c r="AS9" s="371"/>
      <c r="AT9" s="371"/>
      <c r="AU9" s="371"/>
      <c r="AV9" s="371"/>
      <c r="AW9" s="371"/>
      <c r="AX9" s="371"/>
      <c r="AY9" s="371"/>
      <c r="AZ9" s="371"/>
      <c r="BA9" s="371"/>
      <c r="BB9" s="371"/>
      <c r="BC9" s="371"/>
      <c r="BD9" s="371"/>
      <c r="BE9" s="371"/>
      <c r="BF9" s="371"/>
      <c r="BG9" s="371"/>
      <c r="BH9" s="371"/>
      <c r="BI9" s="371"/>
      <c r="BJ9" s="371"/>
      <c r="BK9" s="371"/>
      <c r="BL9" s="371"/>
      <c r="BM9" s="371"/>
      <c r="BN9" s="371"/>
      <c r="BO9" s="371"/>
      <c r="BP9" s="371"/>
      <c r="BQ9" s="371"/>
      <c r="BR9" s="371"/>
      <c r="BS9" s="371"/>
      <c r="BT9" s="371"/>
      <c r="BU9" s="371"/>
      <c r="BV9" s="371"/>
      <c r="BW9" s="371"/>
      <c r="BX9" s="371"/>
      <c r="BY9" s="371"/>
      <c r="BZ9" s="371"/>
      <c r="CA9" s="371"/>
      <c r="CB9" s="371"/>
      <c r="CC9" s="371"/>
      <c r="CD9" s="371"/>
      <c r="CE9" s="371"/>
      <c r="CF9" s="371"/>
      <c r="CG9" s="371"/>
      <c r="CH9" s="371"/>
      <c r="CI9" s="371"/>
      <c r="CJ9" s="371"/>
      <c r="CK9" s="371"/>
      <c r="CL9" s="371"/>
      <c r="CM9" s="371"/>
      <c r="CN9" s="371"/>
      <c r="CO9" s="371"/>
      <c r="CP9" s="371"/>
    </row>
    <row r="10" spans="2:109" ht="15" customHeight="1" x14ac:dyDescent="0.25">
      <c r="AJ10" s="232" t="s">
        <v>15</v>
      </c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2"/>
      <c r="BU10" s="232"/>
      <c r="BV10" s="232"/>
      <c r="BW10" s="232"/>
      <c r="BX10" s="232"/>
      <c r="BY10" s="232"/>
      <c r="BZ10" s="232"/>
      <c r="CA10" s="232"/>
      <c r="CB10" s="232"/>
      <c r="CC10" s="232"/>
      <c r="CD10" s="232"/>
      <c r="CE10" s="232"/>
      <c r="CF10" s="232"/>
      <c r="CG10" s="232"/>
      <c r="CH10" s="232"/>
      <c r="CI10" s="232"/>
      <c r="CJ10" s="232"/>
      <c r="CK10" s="232"/>
      <c r="CL10" s="232"/>
      <c r="CM10" s="232"/>
      <c r="CN10" s="232"/>
      <c r="CO10" s="232"/>
      <c r="CP10" s="232"/>
    </row>
    <row r="11" spans="2:109" x14ac:dyDescent="0.25">
      <c r="B11" s="1" t="s">
        <v>16</v>
      </c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BC11" s="231" t="s">
        <v>17</v>
      </c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  <c r="BX11" s="231"/>
      <c r="BY11" s="231"/>
      <c r="BZ11" s="231"/>
      <c r="CA11" s="231"/>
      <c r="CB11" s="231"/>
      <c r="CC11" s="231"/>
      <c r="CD11" s="231"/>
      <c r="CE11" s="231"/>
      <c r="CF11" s="231"/>
      <c r="CG11" s="231"/>
      <c r="CH11" s="231"/>
      <c r="CI11" s="231"/>
      <c r="CJ11" s="231"/>
      <c r="CK11" s="231"/>
      <c r="CL11" s="231"/>
      <c r="CM11" s="231"/>
      <c r="CN11" s="231"/>
      <c r="CO11" s="231"/>
      <c r="CP11" s="231"/>
    </row>
    <row r="12" spans="2:109" ht="17.25" customHeight="1" x14ac:dyDescent="0.25">
      <c r="B12" s="1" t="s">
        <v>18</v>
      </c>
      <c r="K12" s="232" t="s">
        <v>19</v>
      </c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11"/>
      <c r="BA12" s="12"/>
      <c r="BC12" s="232" t="s">
        <v>20</v>
      </c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32"/>
    </row>
    <row r="13" spans="2:109" ht="42" customHeight="1" x14ac:dyDescent="0.25">
      <c r="B13" s="1" t="s">
        <v>21</v>
      </c>
      <c r="O13" s="369">
        <f>N6</f>
        <v>0</v>
      </c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69"/>
      <c r="AQ13" s="369"/>
      <c r="AR13" s="369"/>
      <c r="AS13" s="369"/>
      <c r="AT13" s="369"/>
      <c r="AU13" s="369"/>
      <c r="AV13" s="369"/>
      <c r="AW13" s="369"/>
      <c r="AX13" s="369"/>
      <c r="AY13" s="369"/>
      <c r="AZ13" s="369"/>
      <c r="BA13" s="369"/>
      <c r="BB13" s="369"/>
      <c r="BC13" s="369"/>
      <c r="BD13" s="369"/>
      <c r="BE13" s="369"/>
      <c r="BF13" s="369"/>
      <c r="BG13" s="369"/>
      <c r="BH13" s="369"/>
      <c r="BI13" s="369"/>
      <c r="BJ13" s="369"/>
      <c r="BK13" s="369"/>
      <c r="BL13" s="369"/>
      <c r="BM13" s="369"/>
      <c r="BN13" s="369"/>
      <c r="BO13" s="369"/>
      <c r="BP13" s="369"/>
      <c r="BQ13" s="369"/>
      <c r="BR13" s="369"/>
      <c r="BS13" s="369"/>
      <c r="BT13" s="369"/>
      <c r="BU13" s="369"/>
      <c r="BV13" s="369"/>
      <c r="BW13" s="369"/>
      <c r="BX13" s="369"/>
      <c r="BY13" s="369"/>
      <c r="BZ13" s="369"/>
      <c r="CA13" s="369"/>
      <c r="CB13" s="369"/>
      <c r="CC13" s="369"/>
      <c r="CD13" s="369"/>
      <c r="CE13" s="369"/>
      <c r="CF13" s="369"/>
      <c r="CG13" s="369"/>
      <c r="CH13" s="369"/>
      <c r="CI13" s="369"/>
      <c r="CJ13" s="369"/>
      <c r="CK13" s="369"/>
      <c r="CL13" s="369"/>
      <c r="CM13" s="369"/>
      <c r="CN13" s="369"/>
      <c r="CO13" s="369"/>
      <c r="CP13" s="369"/>
    </row>
    <row r="14" spans="2:109" ht="12.75" customHeight="1" x14ac:dyDescent="0.25">
      <c r="O14" s="232" t="s">
        <v>15</v>
      </c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</row>
    <row r="15" spans="2:109" x14ac:dyDescent="0.25">
      <c r="B15" s="1" t="s">
        <v>22</v>
      </c>
    </row>
    <row r="16" spans="2:109" ht="45" customHeight="1" x14ac:dyDescent="0.25">
      <c r="B16" s="1" t="s">
        <v>23</v>
      </c>
      <c r="L16" s="364">
        <f>N6</f>
        <v>0</v>
      </c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4"/>
      <c r="AJ16" s="364"/>
      <c r="AK16" s="364"/>
      <c r="AL16" s="364"/>
      <c r="AM16" s="364"/>
      <c r="AN16" s="364"/>
      <c r="AO16" s="364"/>
      <c r="AP16" s="364"/>
      <c r="AQ16" s="364"/>
      <c r="AR16" s="364"/>
      <c r="AS16" s="364"/>
      <c r="AT16" s="364"/>
      <c r="AU16" s="364"/>
      <c r="AV16" s="364"/>
      <c r="AW16" s="364"/>
      <c r="AX16" s="364"/>
      <c r="AY16" s="364"/>
      <c r="AZ16" s="364"/>
      <c r="BA16" s="364"/>
      <c r="BB16" s="364"/>
      <c r="BC16" s="364"/>
      <c r="BD16" s="364"/>
      <c r="BE16" s="364"/>
      <c r="BF16" s="364"/>
      <c r="BG16" s="364"/>
      <c r="BH16" s="364"/>
      <c r="BI16" s="364"/>
      <c r="BJ16" s="364"/>
      <c r="BK16" s="364"/>
      <c r="BL16" s="364"/>
      <c r="BM16" s="364"/>
      <c r="BN16" s="364"/>
      <c r="BO16" s="364"/>
      <c r="BP16" s="364"/>
      <c r="BQ16" s="364"/>
      <c r="BR16" s="364"/>
      <c r="BS16" s="364"/>
      <c r="BT16" s="364"/>
      <c r="BU16" s="364"/>
      <c r="BV16" s="364"/>
      <c r="BW16" s="364"/>
      <c r="BX16" s="364"/>
      <c r="BY16" s="364"/>
      <c r="BZ16" s="364"/>
      <c r="CA16" s="364"/>
      <c r="CB16" s="364"/>
      <c r="CC16" s="364"/>
      <c r="CD16" s="364"/>
      <c r="CE16" s="364"/>
      <c r="CF16" s="364"/>
      <c r="CG16" s="364"/>
      <c r="CH16" s="364"/>
      <c r="CI16" s="364"/>
      <c r="CJ16" s="364"/>
      <c r="CK16" s="364"/>
      <c r="CL16" s="364"/>
      <c r="CM16" s="364"/>
      <c r="CN16" s="364"/>
      <c r="CO16" s="364"/>
      <c r="CP16" s="364"/>
    </row>
    <row r="17" spans="2:104" ht="17.25" customHeight="1" thickBot="1" x14ac:dyDescent="0.3">
      <c r="B17" s="1" t="s">
        <v>24</v>
      </c>
      <c r="L17" s="232" t="s">
        <v>15</v>
      </c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  <c r="AQ17" s="232"/>
      <c r="AR17" s="232"/>
      <c r="AS17" s="232"/>
      <c r="AT17" s="232"/>
      <c r="AU17" s="232"/>
      <c r="AV17" s="232"/>
      <c r="AW17" s="232"/>
      <c r="AX17" s="232"/>
      <c r="AY17" s="232"/>
      <c r="AZ17" s="232"/>
      <c r="BA17" s="232"/>
      <c r="BB17" s="232"/>
      <c r="BC17" s="232"/>
      <c r="BD17" s="232"/>
      <c r="BE17" s="232"/>
      <c r="BF17" s="232"/>
      <c r="BG17" s="232"/>
      <c r="BH17" s="232"/>
      <c r="BI17" s="232"/>
      <c r="BJ17" s="232"/>
      <c r="BK17" s="232"/>
      <c r="BL17" s="232"/>
      <c r="BM17" s="232"/>
      <c r="BN17" s="232"/>
      <c r="BO17" s="232"/>
      <c r="BP17" s="232"/>
      <c r="BQ17" s="232"/>
      <c r="BR17" s="232"/>
      <c r="BS17" s="232"/>
      <c r="BT17" s="232"/>
      <c r="BU17" s="232"/>
      <c r="BV17" s="232"/>
      <c r="BW17" s="232"/>
      <c r="BX17" s="232"/>
      <c r="BY17" s="232"/>
      <c r="BZ17" s="232"/>
      <c r="CA17" s="232"/>
      <c r="CB17" s="232"/>
      <c r="CC17" s="232"/>
      <c r="CD17" s="232"/>
      <c r="CE17" s="232"/>
      <c r="CF17" s="232"/>
      <c r="CG17" s="232"/>
      <c r="CH17" s="232"/>
      <c r="CI17" s="232"/>
      <c r="CJ17" s="232"/>
      <c r="CK17" s="232"/>
      <c r="CL17" s="232"/>
      <c r="CM17" s="232"/>
      <c r="CN17" s="232"/>
      <c r="CO17" s="232"/>
      <c r="CP17" s="232"/>
    </row>
    <row r="18" spans="2:104" ht="23.25" customHeight="1" x14ac:dyDescent="0.25">
      <c r="B18" s="1" t="s">
        <v>25</v>
      </c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64"/>
      <c r="AC18" s="364"/>
      <c r="AD18" s="364"/>
      <c r="AE18" s="364"/>
      <c r="AF18" s="364"/>
      <c r="AG18" s="364"/>
      <c r="AH18" s="364"/>
      <c r="AI18" s="364"/>
      <c r="AJ18" s="364"/>
      <c r="AK18" s="364"/>
      <c r="AL18" s="364"/>
      <c r="AM18" s="364"/>
      <c r="AN18" s="364"/>
      <c r="AO18" s="364"/>
      <c r="AP18" s="364"/>
      <c r="AQ18" s="364"/>
      <c r="AR18" s="364"/>
      <c r="AS18" s="364"/>
      <c r="AT18" s="364"/>
      <c r="AU18" s="364"/>
      <c r="AV18" s="364"/>
      <c r="AW18" s="364"/>
      <c r="AX18" s="364"/>
      <c r="AY18" s="364"/>
      <c r="AZ18" s="364"/>
      <c r="BA18" s="364"/>
      <c r="BB18" s="364"/>
      <c r="BC18" s="364"/>
      <c r="BD18" s="364"/>
      <c r="BE18" s="364"/>
      <c r="BF18" s="364"/>
      <c r="BG18" s="364"/>
      <c r="BH18" s="364"/>
      <c r="BI18" s="364"/>
      <c r="BJ18" s="364"/>
      <c r="BK18" s="364"/>
      <c r="BL18" s="364"/>
      <c r="BM18" s="364"/>
      <c r="BN18" s="364"/>
      <c r="BO18" s="364"/>
      <c r="BP18" s="364"/>
      <c r="BQ18" s="364"/>
      <c r="BR18" s="364"/>
      <c r="BU18" s="236" t="s">
        <v>26</v>
      </c>
      <c r="BV18" s="354"/>
      <c r="BW18" s="354"/>
      <c r="BX18" s="354"/>
      <c r="BY18" s="354"/>
      <c r="BZ18" s="354"/>
      <c r="CA18" s="354"/>
      <c r="CB18" s="354"/>
      <c r="CC18" s="354"/>
      <c r="CD18" s="354"/>
      <c r="CE18" s="354"/>
      <c r="CF18" s="354"/>
      <c r="CG18" s="354"/>
      <c r="CH18" s="354"/>
      <c r="CI18" s="354"/>
      <c r="CJ18" s="354"/>
      <c r="CL18" s="368"/>
      <c r="CM18" s="357"/>
      <c r="CN18" s="357"/>
      <c r="CO18" s="357"/>
      <c r="CP18" s="358"/>
      <c r="CQ18" s="356"/>
      <c r="CR18" s="357"/>
      <c r="CS18" s="357"/>
      <c r="CT18" s="357"/>
      <c r="CU18" s="358"/>
      <c r="CV18" s="356"/>
      <c r="CW18" s="357"/>
      <c r="CX18" s="357"/>
      <c r="CY18" s="357"/>
      <c r="CZ18" s="362"/>
    </row>
    <row r="19" spans="2:104" ht="12" thickBot="1" x14ac:dyDescent="0.3">
      <c r="L19" s="232" t="s">
        <v>27</v>
      </c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/>
      <c r="AZ19" s="232"/>
      <c r="BA19" s="232"/>
      <c r="BB19" s="232"/>
      <c r="BC19" s="232"/>
      <c r="BD19" s="232"/>
      <c r="BE19" s="232"/>
      <c r="BF19" s="232"/>
      <c r="BG19" s="232"/>
      <c r="BH19" s="232"/>
      <c r="BI19" s="232"/>
      <c r="BJ19" s="232"/>
      <c r="BK19" s="232"/>
      <c r="BL19" s="232"/>
      <c r="BM19" s="232"/>
      <c r="BN19" s="232"/>
      <c r="BO19" s="232"/>
      <c r="BP19" s="232"/>
      <c r="BQ19" s="232"/>
      <c r="BR19" s="232"/>
      <c r="BU19" s="354"/>
      <c r="BV19" s="354"/>
      <c r="BW19" s="354"/>
      <c r="BX19" s="354"/>
      <c r="BY19" s="354"/>
      <c r="BZ19" s="354"/>
      <c r="CA19" s="354"/>
      <c r="CB19" s="354"/>
      <c r="CC19" s="354"/>
      <c r="CD19" s="354"/>
      <c r="CE19" s="354"/>
      <c r="CF19" s="354"/>
      <c r="CG19" s="354"/>
      <c r="CH19" s="354"/>
      <c r="CI19" s="354"/>
      <c r="CJ19" s="354"/>
      <c r="CL19" s="370"/>
      <c r="CM19" s="360"/>
      <c r="CN19" s="360"/>
      <c r="CO19" s="360"/>
      <c r="CP19" s="361"/>
      <c r="CQ19" s="359"/>
      <c r="CR19" s="360"/>
      <c r="CS19" s="360"/>
      <c r="CT19" s="360"/>
      <c r="CU19" s="361"/>
      <c r="CV19" s="359"/>
      <c r="CW19" s="360"/>
      <c r="CX19" s="360"/>
      <c r="CY19" s="360"/>
      <c r="CZ19" s="363"/>
    </row>
    <row r="20" spans="2:104" ht="9" customHeight="1" x14ac:dyDescent="0.25"/>
    <row r="21" spans="2:104" ht="51.65" customHeight="1" x14ac:dyDescent="0.25">
      <c r="B21" s="1" t="s">
        <v>28</v>
      </c>
      <c r="R21" s="364">
        <f>N6</f>
        <v>0</v>
      </c>
      <c r="S21" s="364"/>
      <c r="T21" s="364"/>
      <c r="U21" s="364"/>
      <c r="V21" s="364"/>
      <c r="W21" s="364"/>
      <c r="X21" s="364"/>
      <c r="Y21" s="364"/>
      <c r="Z21" s="364"/>
      <c r="AA21" s="364"/>
      <c r="AB21" s="364"/>
      <c r="AC21" s="364"/>
      <c r="AD21" s="364"/>
      <c r="AE21" s="364"/>
      <c r="AF21" s="364"/>
      <c r="AG21" s="364"/>
      <c r="AH21" s="364"/>
      <c r="AI21" s="364"/>
      <c r="AJ21" s="364"/>
      <c r="AK21" s="364"/>
      <c r="AL21" s="364"/>
      <c r="AM21" s="364"/>
      <c r="AN21" s="364"/>
      <c r="AO21" s="364"/>
      <c r="AP21" s="364"/>
      <c r="AQ21" s="364"/>
      <c r="AR21" s="364"/>
      <c r="AS21" s="364"/>
      <c r="AT21" s="364"/>
      <c r="AU21" s="364"/>
      <c r="AV21" s="364"/>
      <c r="AW21" s="364"/>
      <c r="AX21" s="364"/>
      <c r="AY21" s="364"/>
      <c r="AZ21" s="364"/>
      <c r="BA21" s="364"/>
      <c r="BB21" s="364"/>
      <c r="BC21" s="364"/>
      <c r="BD21" s="364"/>
      <c r="BE21" s="364"/>
      <c r="BF21" s="364"/>
      <c r="BG21" s="364"/>
      <c r="BH21" s="364"/>
      <c r="BI21" s="364"/>
      <c r="BJ21" s="364"/>
      <c r="BK21" s="364"/>
      <c r="BL21" s="364"/>
      <c r="BM21" s="364"/>
      <c r="BN21" s="364"/>
      <c r="BO21" s="364"/>
      <c r="BP21" s="364"/>
      <c r="BQ21" s="364"/>
      <c r="BR21" s="364"/>
      <c r="BS21" s="364"/>
      <c r="BT21" s="364"/>
      <c r="BU21" s="364"/>
      <c r="BV21" s="364"/>
      <c r="BW21" s="364"/>
      <c r="BX21" s="364"/>
      <c r="BY21" s="364"/>
      <c r="BZ21" s="364"/>
      <c r="CA21" s="364"/>
      <c r="CB21" s="364"/>
      <c r="CC21" s="364"/>
      <c r="CD21" s="364"/>
      <c r="CE21" s="364"/>
      <c r="CF21" s="364"/>
      <c r="CG21" s="364"/>
      <c r="CH21" s="364"/>
      <c r="CI21" s="364"/>
      <c r="CJ21" s="364"/>
      <c r="CK21" s="364"/>
      <c r="CL21" s="364"/>
      <c r="CM21" s="364"/>
      <c r="CN21" s="364"/>
      <c r="CO21" s="364"/>
      <c r="CP21" s="364"/>
      <c r="CQ21" s="364"/>
      <c r="CR21" s="364"/>
      <c r="CS21" s="364"/>
      <c r="CT21" s="364"/>
      <c r="CU21" s="364"/>
      <c r="CV21" s="364"/>
      <c r="CW21" s="364"/>
      <c r="CX21" s="364"/>
      <c r="CY21" s="364"/>
      <c r="CZ21" s="364"/>
    </row>
    <row r="22" spans="2:104" ht="12.75" customHeight="1" thickBot="1" x14ac:dyDescent="0.3">
      <c r="R22" s="232" t="s">
        <v>15</v>
      </c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32"/>
      <c r="BJ22" s="232"/>
      <c r="BK22" s="232"/>
      <c r="BL22" s="232"/>
      <c r="BM22" s="232"/>
      <c r="BN22" s="232"/>
      <c r="BO22" s="232"/>
      <c r="BP22" s="232"/>
      <c r="BQ22" s="232"/>
      <c r="BR22" s="232"/>
      <c r="BS22" s="232"/>
      <c r="BT22" s="232"/>
      <c r="BU22" s="232"/>
      <c r="BV22" s="232"/>
      <c r="BW22" s="232"/>
      <c r="BX22" s="232"/>
      <c r="BY22" s="232"/>
      <c r="BZ22" s="232"/>
      <c r="CA22" s="232"/>
      <c r="CB22" s="232"/>
      <c r="CC22" s="232"/>
      <c r="CD22" s="232"/>
      <c r="CE22" s="232"/>
      <c r="CF22" s="232"/>
      <c r="CG22" s="232"/>
      <c r="CH22" s="232"/>
      <c r="CI22" s="232"/>
      <c r="CJ22" s="232"/>
      <c r="CK22" s="232"/>
      <c r="CL22" s="232"/>
      <c r="CM22" s="232"/>
      <c r="CN22" s="232"/>
      <c r="CO22" s="232"/>
      <c r="CP22" s="232"/>
      <c r="CQ22" s="232"/>
      <c r="CR22" s="232"/>
      <c r="CS22" s="232"/>
      <c r="CT22" s="232"/>
      <c r="CU22" s="232"/>
      <c r="CV22" s="232"/>
      <c r="CW22" s="232"/>
      <c r="CX22" s="232"/>
      <c r="CY22" s="232"/>
      <c r="CZ22" s="232"/>
    </row>
    <row r="23" spans="2:104" x14ac:dyDescent="0.25">
      <c r="B23" s="1" t="s">
        <v>24</v>
      </c>
      <c r="L23" s="365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6"/>
      <c r="X23" s="366"/>
      <c r="Y23" s="366"/>
      <c r="Z23" s="366"/>
      <c r="AA23" s="366"/>
      <c r="AB23" s="366"/>
      <c r="AC23" s="366"/>
      <c r="AD23" s="366"/>
      <c r="AE23" s="366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6"/>
      <c r="BC23" s="366"/>
      <c r="BD23" s="366"/>
      <c r="BE23" s="366"/>
      <c r="BF23" s="366"/>
      <c r="BG23" s="366"/>
      <c r="BH23" s="366"/>
      <c r="BI23" s="366"/>
      <c r="BJ23" s="366"/>
      <c r="BK23" s="366"/>
      <c r="BL23" s="366"/>
      <c r="BM23" s="366"/>
      <c r="BN23" s="366"/>
      <c r="BO23" s="366"/>
      <c r="BP23" s="366"/>
      <c r="BQ23" s="366"/>
      <c r="BR23" s="366"/>
      <c r="BS23" s="366"/>
      <c r="BT23" s="366"/>
      <c r="BU23" s="366"/>
      <c r="BV23" s="366"/>
      <c r="BW23" s="366"/>
      <c r="BX23" s="366"/>
      <c r="BY23" s="366"/>
      <c r="BZ23" s="366"/>
      <c r="CL23" s="14"/>
      <c r="CM23" s="14"/>
      <c r="CN23" s="14"/>
      <c r="CO23" s="14"/>
      <c r="CP23" s="14"/>
      <c r="CQ23" s="368"/>
      <c r="CR23" s="357"/>
      <c r="CS23" s="357"/>
      <c r="CT23" s="357"/>
      <c r="CU23" s="357"/>
      <c r="CV23" s="357"/>
      <c r="CW23" s="357"/>
      <c r="CX23" s="357"/>
      <c r="CY23" s="357"/>
      <c r="CZ23" s="362"/>
    </row>
    <row r="24" spans="2:104" ht="12" customHeight="1" x14ac:dyDescent="0.25">
      <c r="B24" s="1" t="s">
        <v>29</v>
      </c>
      <c r="L24" s="367"/>
      <c r="M24" s="367"/>
      <c r="N24" s="367"/>
      <c r="O24" s="367"/>
      <c r="P24" s="367"/>
      <c r="Q24" s="367"/>
      <c r="R24" s="367"/>
      <c r="S24" s="367"/>
      <c r="T24" s="367"/>
      <c r="U24" s="367"/>
      <c r="V24" s="367"/>
      <c r="W24" s="367"/>
      <c r="X24" s="367"/>
      <c r="Y24" s="367"/>
      <c r="Z24" s="367"/>
      <c r="AA24" s="367"/>
      <c r="AB24" s="367"/>
      <c r="AC24" s="367"/>
      <c r="AD24" s="367"/>
      <c r="AE24" s="367"/>
      <c r="AF24" s="367"/>
      <c r="AG24" s="367"/>
      <c r="AH24" s="367"/>
      <c r="AI24" s="367"/>
      <c r="AJ24" s="367"/>
      <c r="AK24" s="367"/>
      <c r="AL24" s="367"/>
      <c r="AM24" s="367"/>
      <c r="AN24" s="367"/>
      <c r="AO24" s="367"/>
      <c r="AP24" s="367"/>
      <c r="AQ24" s="367"/>
      <c r="AR24" s="367"/>
      <c r="AS24" s="367"/>
      <c r="AT24" s="367"/>
      <c r="AU24" s="367"/>
      <c r="AV24" s="367"/>
      <c r="AW24" s="367"/>
      <c r="AX24" s="367"/>
      <c r="AY24" s="367"/>
      <c r="AZ24" s="367"/>
      <c r="BA24" s="367"/>
      <c r="BB24" s="367"/>
      <c r="BC24" s="367"/>
      <c r="BD24" s="367"/>
      <c r="BE24" s="367"/>
      <c r="BF24" s="367"/>
      <c r="BG24" s="367"/>
      <c r="BH24" s="367"/>
      <c r="BI24" s="367"/>
      <c r="BJ24" s="367"/>
      <c r="BK24" s="367"/>
      <c r="BL24" s="367"/>
      <c r="BM24" s="367"/>
      <c r="BN24" s="367"/>
      <c r="BO24" s="367"/>
      <c r="BP24" s="367"/>
      <c r="BQ24" s="367"/>
      <c r="BR24" s="367"/>
      <c r="BS24" s="367"/>
      <c r="BT24" s="367"/>
      <c r="BU24" s="367"/>
      <c r="BV24" s="367"/>
      <c r="BW24" s="367"/>
      <c r="BX24" s="367"/>
      <c r="BY24" s="367"/>
      <c r="BZ24" s="367"/>
      <c r="CL24" s="14"/>
      <c r="CM24" s="14"/>
      <c r="CN24" s="15" t="s">
        <v>30</v>
      </c>
      <c r="CO24" s="14"/>
      <c r="CP24" s="14"/>
      <c r="CQ24" s="339"/>
      <c r="CR24" s="340"/>
      <c r="CS24" s="340"/>
      <c r="CT24" s="340"/>
      <c r="CU24" s="340"/>
      <c r="CV24" s="340"/>
      <c r="CW24" s="340"/>
      <c r="CX24" s="340"/>
      <c r="CY24" s="340"/>
      <c r="CZ24" s="341"/>
    </row>
    <row r="25" spans="2:104" ht="9" customHeight="1" x14ac:dyDescent="0.25">
      <c r="L25" s="232" t="s">
        <v>27</v>
      </c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2"/>
      <c r="AX25" s="232"/>
      <c r="AY25" s="232"/>
      <c r="AZ25" s="232"/>
      <c r="BA25" s="232"/>
      <c r="BB25" s="232"/>
      <c r="BC25" s="232"/>
      <c r="BD25" s="232"/>
      <c r="BE25" s="232"/>
      <c r="BF25" s="232"/>
      <c r="BG25" s="232"/>
      <c r="BH25" s="232"/>
      <c r="BI25" s="232"/>
      <c r="BJ25" s="232"/>
      <c r="BK25" s="232"/>
      <c r="BL25" s="232"/>
      <c r="BM25" s="232"/>
      <c r="BN25" s="232"/>
      <c r="BO25" s="232"/>
      <c r="BP25" s="232"/>
      <c r="BQ25" s="232"/>
      <c r="BR25" s="232"/>
      <c r="BS25" s="232"/>
      <c r="BT25" s="232"/>
      <c r="BU25" s="232"/>
      <c r="BV25" s="232"/>
      <c r="BW25" s="232"/>
      <c r="BX25" s="232"/>
      <c r="BY25" s="232"/>
      <c r="BZ25" s="232"/>
      <c r="CL25" s="14"/>
      <c r="CM25" s="14"/>
      <c r="CN25" s="14"/>
      <c r="CO25" s="14"/>
      <c r="CP25" s="14"/>
      <c r="CQ25" s="342"/>
      <c r="CR25" s="343"/>
      <c r="CS25" s="343"/>
      <c r="CT25" s="343"/>
      <c r="CU25" s="343"/>
      <c r="CV25" s="343"/>
      <c r="CW25" s="343"/>
      <c r="CX25" s="343"/>
      <c r="CY25" s="343"/>
      <c r="CZ25" s="344"/>
    </row>
    <row r="26" spans="2:104" ht="9" customHeight="1" x14ac:dyDescent="0.25">
      <c r="CL26" s="14"/>
      <c r="CM26" s="14"/>
      <c r="CN26" s="14"/>
      <c r="CO26" s="14"/>
      <c r="CP26" s="14"/>
      <c r="CQ26" s="336"/>
      <c r="CR26" s="337"/>
      <c r="CS26" s="337"/>
      <c r="CT26" s="337"/>
      <c r="CU26" s="337"/>
      <c r="CV26" s="337"/>
      <c r="CW26" s="337"/>
      <c r="CX26" s="337"/>
      <c r="CY26" s="337"/>
      <c r="CZ26" s="338"/>
    </row>
    <row r="27" spans="2:104" x14ac:dyDescent="0.25">
      <c r="M27" s="1" t="s">
        <v>31</v>
      </c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29"/>
      <c r="BN27" s="229"/>
      <c r="BO27" s="229"/>
      <c r="BP27" s="229"/>
      <c r="BQ27" s="229"/>
      <c r="BR27" s="229"/>
      <c r="BS27" s="229"/>
      <c r="BT27" s="229"/>
      <c r="BU27" s="229"/>
      <c r="BV27" s="229"/>
      <c r="CL27" s="14"/>
      <c r="CM27" s="14"/>
      <c r="CN27" s="15" t="s">
        <v>32</v>
      </c>
      <c r="CO27" s="14"/>
      <c r="CP27" s="14"/>
      <c r="CQ27" s="339"/>
      <c r="CR27" s="340"/>
      <c r="CS27" s="340"/>
      <c r="CT27" s="340"/>
      <c r="CU27" s="340"/>
      <c r="CV27" s="340"/>
      <c r="CW27" s="340"/>
      <c r="CX27" s="340"/>
      <c r="CY27" s="340"/>
      <c r="CZ27" s="341"/>
    </row>
    <row r="28" spans="2:104" ht="12" thickBot="1" x14ac:dyDescent="0.3">
      <c r="CL28" s="17"/>
      <c r="CM28" s="17"/>
      <c r="CN28" s="17"/>
      <c r="CO28" s="17"/>
      <c r="CP28" s="18"/>
      <c r="CQ28" s="342"/>
      <c r="CR28" s="343"/>
      <c r="CS28" s="343"/>
      <c r="CT28" s="343"/>
      <c r="CU28" s="343"/>
      <c r="CV28" s="343"/>
      <c r="CW28" s="343"/>
      <c r="CX28" s="343"/>
      <c r="CY28" s="343"/>
      <c r="CZ28" s="344"/>
    </row>
    <row r="29" spans="2:104" x14ac:dyDescent="0.25">
      <c r="M29" s="1" t="s">
        <v>33</v>
      </c>
      <c r="AG29" s="345" t="s">
        <v>34</v>
      </c>
      <c r="AH29" s="346"/>
      <c r="AI29" s="346"/>
      <c r="AJ29" s="346"/>
      <c r="AK29" s="346"/>
      <c r="AL29" s="346"/>
      <c r="AM29" s="346"/>
      <c r="AN29" s="346"/>
      <c r="AO29" s="347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9"/>
      <c r="CA29" s="345" t="s">
        <v>35</v>
      </c>
      <c r="CB29" s="346"/>
      <c r="CC29" s="346"/>
      <c r="CD29" s="346"/>
      <c r="CE29" s="346"/>
      <c r="CF29" s="346"/>
      <c r="CG29" s="346"/>
      <c r="CH29" s="346"/>
      <c r="CI29" s="346"/>
      <c r="CJ29" s="346"/>
      <c r="CK29" s="346"/>
      <c r="CL29" s="353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5"/>
    </row>
    <row r="30" spans="2:104" ht="12" thickBot="1" x14ac:dyDescent="0.3">
      <c r="AG30" s="346"/>
      <c r="AH30" s="346"/>
      <c r="AI30" s="346"/>
      <c r="AJ30" s="346"/>
      <c r="AK30" s="346"/>
      <c r="AL30" s="346"/>
      <c r="AM30" s="346"/>
      <c r="AN30" s="346"/>
      <c r="AO30" s="350"/>
      <c r="AP30" s="351"/>
      <c r="AQ30" s="351"/>
      <c r="AR30" s="351"/>
      <c r="AS30" s="351"/>
      <c r="AT30" s="351"/>
      <c r="AU30" s="351"/>
      <c r="AV30" s="351"/>
      <c r="AW30" s="351"/>
      <c r="AX30" s="351"/>
      <c r="AY30" s="351"/>
      <c r="AZ30" s="351"/>
      <c r="BA30" s="351"/>
      <c r="BB30" s="351"/>
      <c r="BC30" s="351"/>
      <c r="BD30" s="351"/>
      <c r="BE30" s="351"/>
      <c r="BF30" s="351"/>
      <c r="BG30" s="351"/>
      <c r="BH30" s="351"/>
      <c r="BI30" s="351"/>
      <c r="BJ30" s="352"/>
      <c r="CA30" s="346"/>
      <c r="CB30" s="346"/>
      <c r="CC30" s="346"/>
      <c r="CD30" s="346"/>
      <c r="CE30" s="346"/>
      <c r="CF30" s="346"/>
      <c r="CG30" s="346"/>
      <c r="CH30" s="346"/>
      <c r="CI30" s="346"/>
      <c r="CJ30" s="346"/>
      <c r="CK30" s="346"/>
      <c r="CL30" s="353"/>
      <c r="CM30" s="354"/>
      <c r="CN30" s="354"/>
      <c r="CO30" s="354"/>
      <c r="CP30" s="354"/>
      <c r="CQ30" s="354"/>
      <c r="CR30" s="354"/>
      <c r="CS30" s="354"/>
      <c r="CT30" s="354"/>
      <c r="CU30" s="354"/>
      <c r="CV30" s="354"/>
      <c r="CW30" s="354"/>
      <c r="CX30" s="354"/>
      <c r="CY30" s="354"/>
      <c r="CZ30" s="355"/>
    </row>
    <row r="31" spans="2:104" ht="9" customHeight="1" thickBot="1" x14ac:dyDescent="0.3">
      <c r="CA31" s="346"/>
      <c r="CB31" s="346"/>
      <c r="CC31" s="346"/>
      <c r="CD31" s="346"/>
      <c r="CE31" s="346"/>
      <c r="CF31" s="346"/>
      <c r="CG31" s="346"/>
      <c r="CH31" s="346"/>
      <c r="CI31" s="346"/>
      <c r="CJ31" s="346"/>
      <c r="CK31" s="346"/>
      <c r="CL31" s="350"/>
      <c r="CM31" s="351"/>
      <c r="CN31" s="351"/>
      <c r="CO31" s="351"/>
      <c r="CP31" s="351"/>
      <c r="CQ31" s="351"/>
      <c r="CR31" s="351"/>
      <c r="CS31" s="351"/>
      <c r="CT31" s="351"/>
      <c r="CU31" s="351"/>
      <c r="CV31" s="351"/>
      <c r="CW31" s="351"/>
      <c r="CX31" s="351"/>
      <c r="CY31" s="351"/>
      <c r="CZ31" s="352"/>
    </row>
    <row r="32" spans="2:104" ht="9" customHeight="1" x14ac:dyDescent="0.25"/>
    <row r="33" spans="1:104" x14ac:dyDescent="0.25">
      <c r="B33" s="1" t="s">
        <v>36</v>
      </c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29"/>
      <c r="BD33" s="229"/>
      <c r="BE33" s="229"/>
      <c r="BF33" s="229"/>
      <c r="BG33" s="229"/>
      <c r="BH33" s="229"/>
      <c r="BI33" s="229"/>
      <c r="BJ33" s="229"/>
      <c r="BK33" s="229"/>
      <c r="BL33" s="229"/>
      <c r="BM33" s="229"/>
      <c r="BN33" s="229"/>
      <c r="BO33" s="229"/>
      <c r="BP33" s="229"/>
      <c r="BQ33" s="229"/>
      <c r="BR33" s="229"/>
      <c r="BS33" s="229"/>
      <c r="BT33" s="229"/>
      <c r="BU33" s="229"/>
      <c r="BV33" s="229"/>
      <c r="BW33" s="229"/>
      <c r="BX33" s="229"/>
      <c r="BY33" s="229"/>
      <c r="BZ33" s="229"/>
      <c r="CA33" s="229"/>
      <c r="CB33" s="229"/>
      <c r="CC33" s="229"/>
      <c r="CD33" s="229"/>
      <c r="CE33" s="229"/>
      <c r="CF33" s="229"/>
      <c r="CG33" s="229"/>
      <c r="CH33" s="229"/>
      <c r="CI33" s="229"/>
      <c r="CJ33" s="229"/>
      <c r="CK33" s="229"/>
      <c r="CL33" s="229"/>
      <c r="CM33" s="229"/>
      <c r="CN33" s="229"/>
      <c r="CO33" s="229"/>
      <c r="CP33" s="229"/>
      <c r="CQ33" s="229"/>
      <c r="CR33" s="229"/>
      <c r="CS33" s="229"/>
      <c r="CT33" s="229"/>
      <c r="CU33" s="229"/>
      <c r="CV33" s="229"/>
      <c r="CW33" s="229"/>
      <c r="CX33" s="229"/>
      <c r="CY33" s="229"/>
      <c r="CZ33" s="229"/>
    </row>
    <row r="34" spans="1:104" ht="24" customHeight="1" x14ac:dyDescent="0.25">
      <c r="M34" s="232" t="s">
        <v>37</v>
      </c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2"/>
      <c r="AX34" s="232"/>
      <c r="AY34" s="232"/>
      <c r="AZ34" s="232"/>
      <c r="BA34" s="232"/>
      <c r="BB34" s="232"/>
      <c r="BC34" s="232"/>
      <c r="BD34" s="232"/>
      <c r="BE34" s="232"/>
      <c r="BF34" s="232"/>
      <c r="BG34" s="232"/>
      <c r="BH34" s="232"/>
      <c r="BI34" s="232"/>
      <c r="BJ34" s="232"/>
      <c r="BK34" s="232"/>
      <c r="BL34" s="232"/>
      <c r="BM34" s="232"/>
      <c r="BN34" s="232"/>
      <c r="BO34" s="232"/>
      <c r="BP34" s="232"/>
      <c r="BQ34" s="232"/>
      <c r="BR34" s="232"/>
      <c r="BS34" s="232"/>
      <c r="BT34" s="232"/>
      <c r="BU34" s="232"/>
      <c r="BV34" s="232"/>
      <c r="BW34" s="232"/>
      <c r="BX34" s="232"/>
      <c r="BY34" s="232"/>
      <c r="BZ34" s="232"/>
      <c r="CA34" s="232"/>
      <c r="CB34" s="232"/>
      <c r="CC34" s="232"/>
      <c r="CD34" s="232"/>
      <c r="CE34" s="232"/>
      <c r="CF34" s="232"/>
      <c r="CG34" s="232"/>
      <c r="CH34" s="232"/>
      <c r="CI34" s="232"/>
      <c r="CJ34" s="232"/>
      <c r="CK34" s="232"/>
      <c r="CL34" s="232"/>
      <c r="CM34" s="232"/>
      <c r="CN34" s="232"/>
      <c r="CO34" s="232"/>
      <c r="CP34" s="232"/>
      <c r="CQ34" s="232"/>
      <c r="CR34" s="232"/>
      <c r="CS34" s="232"/>
      <c r="CT34" s="232"/>
      <c r="CU34" s="232"/>
      <c r="CV34" s="232"/>
      <c r="CW34" s="232"/>
      <c r="CX34" s="232"/>
      <c r="CY34" s="232"/>
      <c r="CZ34" s="232"/>
    </row>
    <row r="35" spans="1:104" x14ac:dyDescent="0.25">
      <c r="B35" s="1" t="s">
        <v>38</v>
      </c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I35" s="1" t="s">
        <v>39</v>
      </c>
      <c r="AV35" s="231"/>
      <c r="AW35" s="231"/>
      <c r="AX35" s="231"/>
      <c r="AY35" s="231"/>
      <c r="AZ35" s="231"/>
      <c r="BA35" s="231"/>
      <c r="BB35" s="231"/>
      <c r="BC35" s="231"/>
      <c r="BD35" s="231"/>
      <c r="BE35" s="231"/>
      <c r="BF35" s="231"/>
      <c r="BG35" s="231"/>
      <c r="BH35" s="231"/>
      <c r="BI35" s="231"/>
      <c r="BJ35" s="231"/>
      <c r="BK35" s="231"/>
      <c r="BL35" s="231"/>
      <c r="BM35" s="231"/>
      <c r="BN35" s="231"/>
      <c r="BO35" s="1" t="s">
        <v>40</v>
      </c>
      <c r="BT35" s="1" t="s">
        <v>41</v>
      </c>
      <c r="CE35" s="231"/>
      <c r="CF35" s="231"/>
      <c r="CG35" s="231"/>
      <c r="CH35" s="231"/>
      <c r="CI35" s="231"/>
      <c r="CJ35" s="231"/>
      <c r="CK35" s="231"/>
      <c r="CL35" s="231"/>
      <c r="CM35" s="231"/>
      <c r="CN35" s="231"/>
      <c r="CO35" s="231"/>
      <c r="CP35" s="231"/>
      <c r="CQ35" s="231"/>
      <c r="CR35" s="231"/>
      <c r="CS35" s="231"/>
      <c r="CT35" s="231"/>
      <c r="CU35" s="231"/>
      <c r="CV35" s="231"/>
      <c r="CW35" s="231"/>
      <c r="CX35" s="1" t="s">
        <v>40</v>
      </c>
    </row>
    <row r="36" spans="1:104" ht="9" customHeight="1" thickBot="1" x14ac:dyDescent="0.3"/>
    <row r="37" spans="1:104" ht="12.9" customHeight="1" thickTop="1" x14ac:dyDescent="0.25">
      <c r="A37" s="316" t="s">
        <v>42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8"/>
      <c r="U37" s="322" t="s">
        <v>43</v>
      </c>
      <c r="V37" s="323"/>
      <c r="W37" s="323"/>
      <c r="X37" s="323"/>
      <c r="Y37" s="323"/>
      <c r="Z37" s="323"/>
      <c r="AA37" s="324"/>
      <c r="AB37" s="330" t="s">
        <v>44</v>
      </c>
      <c r="AC37" s="330"/>
      <c r="AD37" s="330"/>
      <c r="AE37" s="330"/>
      <c r="AF37" s="330"/>
      <c r="AG37" s="330"/>
      <c r="AH37" s="330"/>
      <c r="AI37" s="330"/>
      <c r="AJ37" s="330"/>
      <c r="AK37" s="330" t="s">
        <v>45</v>
      </c>
      <c r="AL37" s="330"/>
      <c r="AM37" s="330"/>
      <c r="AN37" s="330"/>
      <c r="AO37" s="330"/>
      <c r="AP37" s="330"/>
      <c r="AQ37" s="330"/>
      <c r="AR37" s="330"/>
      <c r="AS37" s="333" t="s">
        <v>46</v>
      </c>
      <c r="AT37" s="334"/>
      <c r="AU37" s="334"/>
      <c r="AV37" s="334"/>
      <c r="AW37" s="334"/>
      <c r="AX37" s="334"/>
      <c r="AY37" s="334"/>
      <c r="AZ37" s="334"/>
      <c r="BA37" s="334"/>
      <c r="BB37" s="334"/>
      <c r="BC37" s="334"/>
      <c r="BD37" s="334"/>
      <c r="BE37" s="334"/>
      <c r="BF37" s="334"/>
      <c r="BG37" s="334"/>
      <c r="BH37" s="334"/>
      <c r="BI37" s="334"/>
      <c r="BJ37" s="334"/>
      <c r="BK37" s="334"/>
      <c r="BL37" s="334"/>
      <c r="BM37" s="334"/>
      <c r="BN37" s="334"/>
      <c r="BO37" s="334"/>
      <c r="BP37" s="334"/>
      <c r="BQ37" s="334"/>
      <c r="BR37" s="334"/>
      <c r="BS37" s="335"/>
      <c r="BT37" s="299" t="s">
        <v>47</v>
      </c>
      <c r="BU37" s="299"/>
      <c r="BV37" s="299"/>
      <c r="BW37" s="299"/>
      <c r="BX37" s="299"/>
      <c r="BY37" s="299"/>
      <c r="BZ37" s="299"/>
      <c r="CA37" s="299"/>
      <c r="CB37" s="299"/>
      <c r="CC37" s="299"/>
      <c r="CD37" s="299"/>
      <c r="CE37" s="299"/>
      <c r="CF37" s="299"/>
      <c r="CG37" s="299"/>
      <c r="CH37" s="299"/>
      <c r="CI37" s="299"/>
      <c r="CJ37" s="299" t="s">
        <v>48</v>
      </c>
      <c r="CK37" s="299"/>
      <c r="CL37" s="299"/>
      <c r="CM37" s="299"/>
      <c r="CN37" s="299"/>
      <c r="CO37" s="299"/>
      <c r="CP37" s="299"/>
      <c r="CQ37" s="299"/>
      <c r="CR37" s="299"/>
      <c r="CS37" s="299"/>
      <c r="CT37" s="299"/>
      <c r="CU37" s="299"/>
      <c r="CV37" s="299"/>
      <c r="CW37" s="299"/>
      <c r="CX37" s="299"/>
      <c r="CY37" s="299"/>
      <c r="CZ37" s="299"/>
    </row>
    <row r="38" spans="1:104" ht="12.9" customHeight="1" x14ac:dyDescent="0.25">
      <c r="A38" s="319"/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1"/>
      <c r="U38" s="325"/>
      <c r="V38" s="236"/>
      <c r="W38" s="236"/>
      <c r="X38" s="236"/>
      <c r="Y38" s="236"/>
      <c r="Z38" s="236"/>
      <c r="AA38" s="326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02" t="s">
        <v>49</v>
      </c>
      <c r="AT38" s="303"/>
      <c r="AU38" s="303"/>
      <c r="AV38" s="303"/>
      <c r="AW38" s="303"/>
      <c r="AX38" s="303"/>
      <c r="AY38" s="303"/>
      <c r="AZ38" s="303"/>
      <c r="BA38" s="304"/>
      <c r="BB38" s="308" t="s">
        <v>50</v>
      </c>
      <c r="BC38" s="303"/>
      <c r="BD38" s="303"/>
      <c r="BE38" s="303"/>
      <c r="BF38" s="303"/>
      <c r="BG38" s="303"/>
      <c r="BH38" s="303"/>
      <c r="BI38" s="303"/>
      <c r="BJ38" s="304"/>
      <c r="BK38" s="308" t="s">
        <v>51</v>
      </c>
      <c r="BL38" s="303"/>
      <c r="BM38" s="303"/>
      <c r="BN38" s="303"/>
      <c r="BO38" s="303"/>
      <c r="BP38" s="303"/>
      <c r="BQ38" s="303"/>
      <c r="BR38" s="303"/>
      <c r="BS38" s="310"/>
      <c r="BT38" s="300"/>
      <c r="BU38" s="300"/>
      <c r="BV38" s="300"/>
      <c r="BW38" s="300"/>
      <c r="BX38" s="300"/>
      <c r="BY38" s="300"/>
      <c r="BZ38" s="300"/>
      <c r="CA38" s="300"/>
      <c r="CB38" s="300"/>
      <c r="CC38" s="300"/>
      <c r="CD38" s="300"/>
      <c r="CE38" s="300"/>
      <c r="CF38" s="300"/>
      <c r="CG38" s="300"/>
      <c r="CH38" s="300"/>
      <c r="CI38" s="300"/>
      <c r="CJ38" s="300"/>
      <c r="CK38" s="300"/>
      <c r="CL38" s="300"/>
      <c r="CM38" s="300"/>
      <c r="CN38" s="300"/>
      <c r="CO38" s="300"/>
      <c r="CP38" s="300"/>
      <c r="CQ38" s="300"/>
      <c r="CR38" s="300"/>
      <c r="CS38" s="300"/>
      <c r="CT38" s="300"/>
      <c r="CU38" s="300"/>
      <c r="CV38" s="300"/>
      <c r="CW38" s="300"/>
      <c r="CX38" s="300"/>
      <c r="CY38" s="300"/>
      <c r="CZ38" s="300"/>
    </row>
    <row r="39" spans="1:104" ht="12.9" customHeight="1" x14ac:dyDescent="0.25">
      <c r="A39" s="319"/>
      <c r="B39" s="320"/>
      <c r="C39" s="320"/>
      <c r="D39" s="320"/>
      <c r="E39" s="320"/>
      <c r="F39" s="320"/>
      <c r="G39" s="320"/>
      <c r="H39" s="320"/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1"/>
      <c r="U39" s="327"/>
      <c r="V39" s="328"/>
      <c r="W39" s="328"/>
      <c r="X39" s="328"/>
      <c r="Y39" s="328"/>
      <c r="Z39" s="328"/>
      <c r="AA39" s="329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2"/>
      <c r="AP39" s="332"/>
      <c r="AQ39" s="332"/>
      <c r="AR39" s="332"/>
      <c r="AS39" s="305"/>
      <c r="AT39" s="306"/>
      <c r="AU39" s="306"/>
      <c r="AV39" s="306"/>
      <c r="AW39" s="306"/>
      <c r="AX39" s="306"/>
      <c r="AY39" s="306"/>
      <c r="AZ39" s="306"/>
      <c r="BA39" s="307"/>
      <c r="BB39" s="309"/>
      <c r="BC39" s="306"/>
      <c r="BD39" s="306"/>
      <c r="BE39" s="306"/>
      <c r="BF39" s="306"/>
      <c r="BG39" s="306"/>
      <c r="BH39" s="306"/>
      <c r="BI39" s="306"/>
      <c r="BJ39" s="307"/>
      <c r="BK39" s="309"/>
      <c r="BL39" s="306"/>
      <c r="BM39" s="306"/>
      <c r="BN39" s="306"/>
      <c r="BO39" s="306"/>
      <c r="BP39" s="306"/>
      <c r="BQ39" s="306"/>
      <c r="BR39" s="306"/>
      <c r="BS39" s="311"/>
      <c r="BT39" s="301"/>
      <c r="BU39" s="301"/>
      <c r="BV39" s="301"/>
      <c r="BW39" s="301"/>
      <c r="BX39" s="301"/>
      <c r="BY39" s="301"/>
      <c r="BZ39" s="301"/>
      <c r="CA39" s="301"/>
      <c r="CB39" s="301"/>
      <c r="CC39" s="301"/>
      <c r="CD39" s="301"/>
      <c r="CE39" s="301"/>
      <c r="CF39" s="301"/>
      <c r="CG39" s="301"/>
      <c r="CH39" s="301"/>
      <c r="CI39" s="301"/>
      <c r="CJ39" s="301"/>
      <c r="CK39" s="301"/>
      <c r="CL39" s="301"/>
      <c r="CM39" s="301"/>
      <c r="CN39" s="301"/>
      <c r="CO39" s="301"/>
      <c r="CP39" s="301"/>
      <c r="CQ39" s="301"/>
      <c r="CR39" s="301"/>
      <c r="CS39" s="301"/>
      <c r="CT39" s="301"/>
      <c r="CU39" s="301"/>
      <c r="CV39" s="301"/>
      <c r="CW39" s="301"/>
      <c r="CX39" s="301"/>
      <c r="CY39" s="301"/>
      <c r="CZ39" s="301"/>
    </row>
    <row r="40" spans="1:104" ht="12" thickBot="1" x14ac:dyDescent="0.3">
      <c r="A40" s="312"/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4"/>
      <c r="U40" s="251">
        <v>1</v>
      </c>
      <c r="V40" s="252"/>
      <c r="W40" s="252"/>
      <c r="X40" s="252"/>
      <c r="Y40" s="252"/>
      <c r="Z40" s="252"/>
      <c r="AA40" s="253"/>
      <c r="AB40" s="289">
        <v>2</v>
      </c>
      <c r="AC40" s="289"/>
      <c r="AD40" s="289"/>
      <c r="AE40" s="289"/>
      <c r="AF40" s="289"/>
      <c r="AG40" s="289"/>
      <c r="AH40" s="289"/>
      <c r="AI40" s="289"/>
      <c r="AJ40" s="289"/>
      <c r="AK40" s="289">
        <v>3</v>
      </c>
      <c r="AL40" s="289"/>
      <c r="AM40" s="289"/>
      <c r="AN40" s="289"/>
      <c r="AO40" s="289"/>
      <c r="AP40" s="289"/>
      <c r="AQ40" s="289"/>
      <c r="AR40" s="289"/>
      <c r="AS40" s="254">
        <v>4</v>
      </c>
      <c r="AT40" s="255"/>
      <c r="AU40" s="255"/>
      <c r="AV40" s="255"/>
      <c r="AW40" s="255"/>
      <c r="AX40" s="255"/>
      <c r="AY40" s="255"/>
      <c r="AZ40" s="255"/>
      <c r="BA40" s="255"/>
      <c r="BB40" s="255">
        <v>5</v>
      </c>
      <c r="BC40" s="255"/>
      <c r="BD40" s="255"/>
      <c r="BE40" s="255"/>
      <c r="BF40" s="255"/>
      <c r="BG40" s="255"/>
      <c r="BH40" s="255"/>
      <c r="BI40" s="255"/>
      <c r="BJ40" s="255"/>
      <c r="BK40" s="255">
        <v>6</v>
      </c>
      <c r="BL40" s="255"/>
      <c r="BM40" s="255"/>
      <c r="BN40" s="255"/>
      <c r="BO40" s="255"/>
      <c r="BP40" s="255"/>
      <c r="BQ40" s="255"/>
      <c r="BR40" s="255"/>
      <c r="BS40" s="257"/>
      <c r="BT40" s="289">
        <v>7</v>
      </c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89"/>
      <c r="CF40" s="289"/>
      <c r="CG40" s="289"/>
      <c r="CH40" s="289"/>
      <c r="CI40" s="289"/>
      <c r="CJ40" s="289">
        <v>8</v>
      </c>
      <c r="CK40" s="289"/>
      <c r="CL40" s="289"/>
      <c r="CM40" s="289"/>
      <c r="CN40" s="289"/>
      <c r="CO40" s="289"/>
      <c r="CP40" s="289"/>
      <c r="CQ40" s="289"/>
      <c r="CR40" s="289"/>
      <c r="CS40" s="289"/>
      <c r="CT40" s="289"/>
      <c r="CU40" s="289"/>
      <c r="CV40" s="289"/>
      <c r="CW40" s="289"/>
      <c r="CX40" s="289"/>
      <c r="CY40" s="289"/>
      <c r="CZ40" s="289"/>
    </row>
    <row r="41" spans="1:104" ht="15" customHeight="1" thickTop="1" thickBot="1" x14ac:dyDescent="0.3">
      <c r="A41" s="290"/>
      <c r="B41" s="291"/>
      <c r="C41" s="291"/>
      <c r="D41" s="291"/>
      <c r="E41" s="291"/>
      <c r="F41" s="294" t="s">
        <v>52</v>
      </c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5"/>
      <c r="U41" s="282" t="s">
        <v>53</v>
      </c>
      <c r="V41" s="283"/>
      <c r="W41" s="283"/>
      <c r="X41" s="283"/>
      <c r="Y41" s="283"/>
      <c r="Z41" s="283"/>
      <c r="AA41" s="284"/>
      <c r="AB41" s="276">
        <v>1</v>
      </c>
      <c r="AC41" s="277"/>
      <c r="AD41" s="277"/>
      <c r="AE41" s="277"/>
      <c r="AF41" s="277"/>
      <c r="AG41" s="277"/>
      <c r="AH41" s="277"/>
      <c r="AI41" s="277"/>
      <c r="AJ41" s="285"/>
      <c r="AK41" s="296"/>
      <c r="AL41" s="297"/>
      <c r="AM41" s="297"/>
      <c r="AN41" s="297"/>
      <c r="AO41" s="297"/>
      <c r="AP41" s="297"/>
      <c r="AQ41" s="297"/>
      <c r="AR41" s="298"/>
      <c r="AS41" s="258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8"/>
      <c r="BL41" s="259"/>
      <c r="BM41" s="259"/>
      <c r="BN41" s="259"/>
      <c r="BO41" s="259"/>
      <c r="BP41" s="259"/>
      <c r="BQ41" s="259"/>
      <c r="BR41" s="259"/>
      <c r="BS41" s="259"/>
      <c r="BT41" s="276"/>
      <c r="BU41" s="277"/>
      <c r="BV41" s="277"/>
      <c r="BW41" s="277"/>
      <c r="BX41" s="277"/>
      <c r="BY41" s="277"/>
      <c r="BZ41" s="277"/>
      <c r="CA41" s="277"/>
      <c r="CB41" s="277"/>
      <c r="CC41" s="277"/>
      <c r="CD41" s="277"/>
      <c r="CE41" s="277"/>
      <c r="CF41" s="277"/>
      <c r="CG41" s="277"/>
      <c r="CH41" s="277"/>
      <c r="CI41" s="278"/>
      <c r="CJ41" s="279"/>
      <c r="CK41" s="277"/>
      <c r="CL41" s="277"/>
      <c r="CM41" s="277"/>
      <c r="CN41" s="277"/>
      <c r="CO41" s="277"/>
      <c r="CP41" s="277"/>
      <c r="CQ41" s="277"/>
      <c r="CR41" s="277"/>
      <c r="CS41" s="277"/>
      <c r="CT41" s="277"/>
      <c r="CU41" s="277"/>
      <c r="CV41" s="277"/>
      <c r="CW41" s="277"/>
      <c r="CX41" s="277"/>
      <c r="CY41" s="277"/>
      <c r="CZ41" s="278"/>
    </row>
    <row r="42" spans="1:104" ht="15" customHeight="1" thickBot="1" x14ac:dyDescent="0.3">
      <c r="A42" s="292"/>
      <c r="B42" s="293"/>
      <c r="C42" s="293"/>
      <c r="D42" s="293"/>
      <c r="E42" s="293"/>
      <c r="F42" s="280" t="s">
        <v>54</v>
      </c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1"/>
      <c r="U42" s="282" t="s">
        <v>53</v>
      </c>
      <c r="V42" s="283"/>
      <c r="W42" s="283"/>
      <c r="X42" s="283"/>
      <c r="Y42" s="283"/>
      <c r="Z42" s="283"/>
      <c r="AA42" s="284"/>
      <c r="AB42" s="276">
        <v>1</v>
      </c>
      <c r="AC42" s="277"/>
      <c r="AD42" s="277"/>
      <c r="AE42" s="277"/>
      <c r="AF42" s="277"/>
      <c r="AG42" s="277"/>
      <c r="AH42" s="277"/>
      <c r="AI42" s="277"/>
      <c r="AJ42" s="285"/>
      <c r="AK42" s="286" t="s">
        <v>55</v>
      </c>
      <c r="AL42" s="287"/>
      <c r="AM42" s="287"/>
      <c r="AN42" s="287"/>
      <c r="AO42" s="287"/>
      <c r="AP42" s="287"/>
      <c r="AQ42" s="287"/>
      <c r="AR42" s="288"/>
      <c r="AS42" s="258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8"/>
      <c r="BL42" s="259"/>
      <c r="BM42" s="259"/>
      <c r="BN42" s="259"/>
      <c r="BO42" s="259"/>
      <c r="BP42" s="259"/>
      <c r="BQ42" s="259"/>
      <c r="BR42" s="259"/>
      <c r="BS42" s="259"/>
      <c r="BT42" s="260"/>
      <c r="BU42" s="261"/>
      <c r="BV42" s="261"/>
      <c r="BW42" s="261"/>
      <c r="BX42" s="261"/>
      <c r="BY42" s="261"/>
      <c r="BZ42" s="261"/>
      <c r="CA42" s="261"/>
      <c r="CB42" s="261"/>
      <c r="CC42" s="261"/>
      <c r="CD42" s="261"/>
      <c r="CE42" s="261"/>
      <c r="CF42" s="261"/>
      <c r="CG42" s="261"/>
      <c r="CH42" s="261"/>
      <c r="CI42" s="262"/>
      <c r="CJ42" s="263"/>
      <c r="CK42" s="261"/>
      <c r="CL42" s="261"/>
      <c r="CM42" s="261"/>
      <c r="CN42" s="261"/>
      <c r="CO42" s="261"/>
      <c r="CP42" s="261"/>
      <c r="CQ42" s="261"/>
      <c r="CR42" s="261"/>
      <c r="CS42" s="261"/>
      <c r="CT42" s="261"/>
      <c r="CU42" s="261"/>
      <c r="CV42" s="261"/>
      <c r="CW42" s="261"/>
      <c r="CX42" s="261"/>
      <c r="CY42" s="261"/>
      <c r="CZ42" s="262"/>
    </row>
    <row r="43" spans="1:104" ht="12" customHeight="1" thickTop="1" thickBot="1" x14ac:dyDescent="0.3">
      <c r="A43" s="19"/>
      <c r="B43" s="19"/>
      <c r="C43" s="19"/>
      <c r="D43" s="19"/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16"/>
      <c r="V43" s="16"/>
      <c r="W43" s="16"/>
      <c r="X43" s="16"/>
      <c r="Y43" s="16"/>
      <c r="Z43" s="16"/>
      <c r="AA43" s="16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</row>
    <row r="44" spans="1:104" ht="12" customHeight="1" thickTop="1" x14ac:dyDescent="0.25">
      <c r="U44" s="264" t="s">
        <v>56</v>
      </c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6"/>
      <c r="AI44" s="265" t="s">
        <v>57</v>
      </c>
      <c r="AJ44" s="270"/>
      <c r="AK44" s="270"/>
      <c r="AL44" s="270"/>
      <c r="AM44" s="270"/>
      <c r="AN44" s="270"/>
      <c r="AO44" s="270"/>
      <c r="AP44" s="270"/>
      <c r="AQ44" s="270"/>
      <c r="AR44" s="270"/>
      <c r="AS44" s="270"/>
      <c r="AT44" s="270"/>
      <c r="AU44" s="270"/>
      <c r="AV44" s="270"/>
      <c r="AW44" s="270"/>
      <c r="AX44" s="272" t="s">
        <v>58</v>
      </c>
      <c r="AY44" s="270"/>
      <c r="AZ44" s="270"/>
      <c r="BA44" s="270"/>
      <c r="BB44" s="270"/>
      <c r="BC44" s="270"/>
      <c r="BD44" s="270"/>
      <c r="BE44" s="270"/>
      <c r="BF44" s="273"/>
      <c r="BG44" s="264" t="s">
        <v>59</v>
      </c>
      <c r="BH44" s="265"/>
      <c r="BI44" s="265"/>
      <c r="BJ44" s="265"/>
      <c r="BK44" s="265"/>
      <c r="BL44" s="265"/>
      <c r="BM44" s="265"/>
      <c r="BN44" s="265"/>
      <c r="BO44" s="265"/>
      <c r="BP44" s="265"/>
      <c r="BQ44" s="266"/>
      <c r="BR44" s="264" t="s">
        <v>60</v>
      </c>
      <c r="BS44" s="270"/>
      <c r="BT44" s="270"/>
      <c r="BU44" s="270"/>
      <c r="BV44" s="270"/>
      <c r="BW44" s="270"/>
      <c r="BX44" s="270"/>
      <c r="BY44" s="270"/>
      <c r="BZ44" s="270"/>
      <c r="CA44" s="270"/>
      <c r="CB44" s="273"/>
      <c r="CC44" s="272" t="s">
        <v>61</v>
      </c>
      <c r="CD44" s="270"/>
      <c r="CE44" s="270"/>
      <c r="CF44" s="270"/>
      <c r="CG44" s="270"/>
      <c r="CH44" s="270"/>
      <c r="CI44" s="270"/>
      <c r="CJ44" s="270"/>
      <c r="CK44" s="270"/>
      <c r="CL44" s="270"/>
      <c r="CM44" s="270"/>
      <c r="CN44" s="270"/>
      <c r="CO44" s="270"/>
      <c r="CP44" s="270"/>
      <c r="CQ44" s="270"/>
      <c r="CR44" s="270"/>
      <c r="CS44" s="270"/>
      <c r="CT44" s="270"/>
      <c r="CU44" s="270"/>
      <c r="CV44" s="270"/>
      <c r="CW44" s="270"/>
      <c r="CX44" s="270"/>
      <c r="CY44" s="270"/>
      <c r="CZ44" s="273"/>
    </row>
    <row r="45" spans="1:104" x14ac:dyDescent="0.25">
      <c r="U45" s="267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9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4"/>
      <c r="AY45" s="271"/>
      <c r="AZ45" s="271"/>
      <c r="BA45" s="271"/>
      <c r="BB45" s="271"/>
      <c r="BC45" s="271"/>
      <c r="BD45" s="271"/>
      <c r="BE45" s="271"/>
      <c r="BF45" s="275"/>
      <c r="BG45" s="267"/>
      <c r="BH45" s="268"/>
      <c r="BI45" s="268"/>
      <c r="BJ45" s="268"/>
      <c r="BK45" s="268"/>
      <c r="BL45" s="268"/>
      <c r="BM45" s="268"/>
      <c r="BN45" s="268"/>
      <c r="BO45" s="268"/>
      <c r="BP45" s="268"/>
      <c r="BQ45" s="269"/>
      <c r="BR45" s="274"/>
      <c r="BS45" s="271"/>
      <c r="BT45" s="271"/>
      <c r="BU45" s="271"/>
      <c r="BV45" s="271"/>
      <c r="BW45" s="271"/>
      <c r="BX45" s="271"/>
      <c r="BY45" s="271"/>
      <c r="BZ45" s="271"/>
      <c r="CA45" s="271"/>
      <c r="CB45" s="275"/>
      <c r="CC45" s="274"/>
      <c r="CD45" s="271"/>
      <c r="CE45" s="271"/>
      <c r="CF45" s="271"/>
      <c r="CG45" s="271"/>
      <c r="CH45" s="271"/>
      <c r="CI45" s="271"/>
      <c r="CJ45" s="271"/>
      <c r="CK45" s="271"/>
      <c r="CL45" s="271"/>
      <c r="CM45" s="271"/>
      <c r="CN45" s="271"/>
      <c r="CO45" s="271"/>
      <c r="CP45" s="271"/>
      <c r="CQ45" s="271"/>
      <c r="CR45" s="271"/>
      <c r="CS45" s="271"/>
      <c r="CT45" s="271"/>
      <c r="CU45" s="271"/>
      <c r="CV45" s="271"/>
      <c r="CW45" s="271"/>
      <c r="CX45" s="271"/>
      <c r="CY45" s="271"/>
      <c r="CZ45" s="275"/>
    </row>
    <row r="46" spans="1:104" ht="12" thickBot="1" x14ac:dyDescent="0.3">
      <c r="U46" s="251">
        <v>9</v>
      </c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3"/>
      <c r="AI46" s="254">
        <v>10</v>
      </c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5"/>
      <c r="AV46" s="255"/>
      <c r="AW46" s="256"/>
      <c r="AX46" s="254">
        <v>11</v>
      </c>
      <c r="AY46" s="255"/>
      <c r="AZ46" s="255"/>
      <c r="BA46" s="255"/>
      <c r="BB46" s="255"/>
      <c r="BC46" s="255"/>
      <c r="BD46" s="255"/>
      <c r="BE46" s="255"/>
      <c r="BF46" s="257"/>
      <c r="BG46" s="254">
        <v>12</v>
      </c>
      <c r="BH46" s="255"/>
      <c r="BI46" s="255"/>
      <c r="BJ46" s="255"/>
      <c r="BK46" s="255"/>
      <c r="BL46" s="255"/>
      <c r="BM46" s="255"/>
      <c r="BN46" s="255"/>
      <c r="BO46" s="255"/>
      <c r="BP46" s="255"/>
      <c r="BQ46" s="257"/>
      <c r="BR46" s="254">
        <v>13</v>
      </c>
      <c r="BS46" s="255"/>
      <c r="BT46" s="255"/>
      <c r="BU46" s="255"/>
      <c r="BV46" s="255"/>
      <c r="BW46" s="255"/>
      <c r="BX46" s="255"/>
      <c r="BY46" s="255"/>
      <c r="BZ46" s="255"/>
      <c r="CA46" s="255"/>
      <c r="CB46" s="257"/>
      <c r="CC46" s="254">
        <v>14</v>
      </c>
      <c r="CD46" s="255"/>
      <c r="CE46" s="255"/>
      <c r="CF46" s="255"/>
      <c r="CG46" s="255"/>
      <c r="CH46" s="255"/>
      <c r="CI46" s="255"/>
      <c r="CJ46" s="255"/>
      <c r="CK46" s="255"/>
      <c r="CL46" s="255"/>
      <c r="CM46" s="255"/>
      <c r="CN46" s="255"/>
      <c r="CO46" s="255"/>
      <c r="CP46" s="255"/>
      <c r="CQ46" s="255"/>
      <c r="CR46" s="255"/>
      <c r="CS46" s="255"/>
      <c r="CT46" s="255"/>
      <c r="CU46" s="255"/>
      <c r="CV46" s="255"/>
      <c r="CW46" s="255"/>
      <c r="CX46" s="255"/>
      <c r="CY46" s="255"/>
      <c r="CZ46" s="257"/>
    </row>
    <row r="47" spans="1:104" ht="15" customHeight="1" thickBot="1" x14ac:dyDescent="0.3">
      <c r="B47" s="1" t="s">
        <v>62</v>
      </c>
      <c r="U47" s="246"/>
      <c r="V47" s="247"/>
      <c r="W47" s="247"/>
      <c r="X47" s="247"/>
      <c r="Y47" s="247"/>
      <c r="Z47" s="247"/>
      <c r="AA47" s="247"/>
      <c r="AB47" s="247"/>
      <c r="AC47" s="247"/>
      <c r="AD47" s="247"/>
      <c r="AE47" s="247"/>
      <c r="AF47" s="247"/>
      <c r="AG47" s="247"/>
      <c r="AH47" s="248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49"/>
      <c r="BE47" s="249"/>
      <c r="BF47" s="249"/>
      <c r="BG47" s="249"/>
      <c r="BH47" s="249"/>
      <c r="BI47" s="249"/>
      <c r="BJ47" s="249"/>
      <c r="BK47" s="249"/>
      <c r="BL47" s="249"/>
      <c r="BM47" s="249"/>
      <c r="BN47" s="249"/>
      <c r="BO47" s="249"/>
      <c r="BP47" s="249"/>
      <c r="BQ47" s="249"/>
      <c r="BR47" s="249"/>
      <c r="BS47" s="249"/>
      <c r="BT47" s="249"/>
      <c r="BU47" s="249"/>
      <c r="BV47" s="249"/>
      <c r="BW47" s="249"/>
      <c r="BX47" s="249"/>
      <c r="BY47" s="249"/>
      <c r="BZ47" s="249"/>
      <c r="CA47" s="249"/>
      <c r="CB47" s="249"/>
      <c r="CC47" s="249"/>
      <c r="CD47" s="249"/>
      <c r="CE47" s="249"/>
      <c r="CF47" s="249"/>
      <c r="CG47" s="249"/>
      <c r="CH47" s="249"/>
      <c r="CI47" s="249"/>
      <c r="CJ47" s="249"/>
      <c r="CK47" s="249"/>
      <c r="CL47" s="249"/>
      <c r="CM47" s="249"/>
      <c r="CN47" s="249"/>
      <c r="CO47" s="249"/>
      <c r="CP47" s="249"/>
      <c r="CQ47" s="249"/>
      <c r="CR47" s="249"/>
      <c r="CS47" s="249"/>
      <c r="CT47" s="249"/>
      <c r="CU47" s="249"/>
      <c r="CV47" s="249"/>
      <c r="CW47" s="249"/>
      <c r="CX47" s="249"/>
      <c r="CY47" s="249"/>
      <c r="CZ47" s="250"/>
    </row>
    <row r="48" spans="1:104" ht="12" thickBot="1" x14ac:dyDescent="0.3"/>
    <row r="49" spans="2:108" ht="12" customHeight="1" x14ac:dyDescent="0.25">
      <c r="B49" s="1" t="s">
        <v>63</v>
      </c>
      <c r="BY49" s="236" t="s">
        <v>34</v>
      </c>
      <c r="BZ49" s="236"/>
      <c r="CA49" s="236"/>
      <c r="CB49" s="236"/>
      <c r="CC49" s="236"/>
      <c r="CD49" s="236"/>
      <c r="CE49" s="236"/>
      <c r="CF49" s="236"/>
      <c r="CG49" s="236"/>
      <c r="CH49" s="236"/>
      <c r="CI49" s="236"/>
      <c r="CJ49" s="237"/>
      <c r="CK49" s="238"/>
      <c r="CL49" s="238"/>
      <c r="CM49" s="238"/>
      <c r="CN49" s="238"/>
      <c r="CO49" s="238"/>
      <c r="CP49" s="238"/>
      <c r="CQ49" s="238"/>
      <c r="CR49" s="238"/>
      <c r="CS49" s="238"/>
      <c r="CT49" s="238"/>
      <c r="CU49" s="238"/>
      <c r="CV49" s="238"/>
      <c r="CW49" s="238"/>
      <c r="CX49" s="238"/>
      <c r="CY49" s="238"/>
      <c r="CZ49" s="239"/>
    </row>
    <row r="50" spans="2:108" ht="12" customHeight="1" x14ac:dyDescent="0.25">
      <c r="B50" s="230" t="s">
        <v>64</v>
      </c>
      <c r="C50" s="230"/>
      <c r="D50" s="230"/>
      <c r="E50" s="230"/>
      <c r="F50" s="230"/>
      <c r="G50" s="230"/>
      <c r="H50" s="230"/>
      <c r="I50" s="19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1"/>
      <c r="BB50" s="231"/>
      <c r="BC50" s="231"/>
      <c r="BD50" s="231"/>
      <c r="BE50" s="231"/>
      <c r="BF50" s="231"/>
      <c r="BG50" s="231"/>
      <c r="BH50" s="231"/>
      <c r="BI50" s="231"/>
      <c r="BJ50" s="231"/>
      <c r="BK50" s="231"/>
      <c r="BL50" s="231"/>
      <c r="BM50" s="231"/>
      <c r="BN50" s="231"/>
      <c r="BO50" s="231"/>
      <c r="BP50" s="231"/>
      <c r="BQ50" s="231"/>
      <c r="BR50" s="231"/>
      <c r="BS50" s="231"/>
      <c r="BT50" s="231"/>
      <c r="BU50" s="231"/>
      <c r="BV50" s="231"/>
      <c r="BW50" s="231"/>
      <c r="BX50" s="231"/>
      <c r="BY50" s="236"/>
      <c r="BZ50" s="236"/>
      <c r="CA50" s="236"/>
      <c r="CB50" s="236"/>
      <c r="CC50" s="236"/>
      <c r="CD50" s="236"/>
      <c r="CE50" s="236"/>
      <c r="CF50" s="236"/>
      <c r="CG50" s="236"/>
      <c r="CH50" s="236"/>
      <c r="CI50" s="236"/>
      <c r="CJ50" s="240"/>
      <c r="CK50" s="241"/>
      <c r="CL50" s="241"/>
      <c r="CM50" s="241"/>
      <c r="CN50" s="241"/>
      <c r="CO50" s="241"/>
      <c r="CP50" s="241"/>
      <c r="CQ50" s="241"/>
      <c r="CR50" s="241"/>
      <c r="CS50" s="241"/>
      <c r="CT50" s="241"/>
      <c r="CU50" s="241"/>
      <c r="CV50" s="241"/>
      <c r="CW50" s="241"/>
      <c r="CX50" s="241"/>
      <c r="CY50" s="241"/>
      <c r="CZ50" s="242"/>
    </row>
    <row r="51" spans="2:108" ht="9" customHeight="1" x14ac:dyDescent="0.25">
      <c r="J51" s="232" t="s">
        <v>65</v>
      </c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  <c r="AP51" s="232"/>
      <c r="AQ51" s="232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2"/>
      <c r="BK51" s="232"/>
      <c r="BL51" s="232"/>
      <c r="BM51" s="232"/>
      <c r="BN51" s="232"/>
      <c r="BO51" s="232"/>
      <c r="BP51" s="232"/>
      <c r="BQ51" s="232"/>
      <c r="BR51" s="232"/>
      <c r="BS51" s="232"/>
      <c r="BT51" s="232"/>
      <c r="BU51" s="232"/>
      <c r="BV51" s="232"/>
      <c r="BW51" s="232"/>
      <c r="BX51" s="232"/>
      <c r="BY51" s="236"/>
      <c r="BZ51" s="236"/>
      <c r="CA51" s="236"/>
      <c r="CB51" s="236"/>
      <c r="CC51" s="236"/>
      <c r="CD51" s="236"/>
      <c r="CE51" s="236"/>
      <c r="CF51" s="236"/>
      <c r="CG51" s="236"/>
      <c r="CH51" s="236"/>
      <c r="CI51" s="236"/>
      <c r="CJ51" s="240"/>
      <c r="CK51" s="241"/>
      <c r="CL51" s="241"/>
      <c r="CM51" s="241"/>
      <c r="CN51" s="241"/>
      <c r="CO51" s="241"/>
      <c r="CP51" s="241"/>
      <c r="CQ51" s="241"/>
      <c r="CR51" s="241"/>
      <c r="CS51" s="241"/>
      <c r="CT51" s="241"/>
      <c r="CU51" s="241"/>
      <c r="CV51" s="241"/>
      <c r="CW51" s="241"/>
      <c r="CX51" s="241"/>
      <c r="CY51" s="241"/>
      <c r="CZ51" s="242"/>
    </row>
    <row r="52" spans="2:108" ht="12" customHeight="1" x14ac:dyDescent="0.25">
      <c r="BY52" s="236" t="s">
        <v>35</v>
      </c>
      <c r="BZ52" s="236"/>
      <c r="CA52" s="236"/>
      <c r="CB52" s="236"/>
      <c r="CC52" s="236"/>
      <c r="CD52" s="236"/>
      <c r="CE52" s="236"/>
      <c r="CF52" s="236"/>
      <c r="CG52" s="236"/>
      <c r="CH52" s="236"/>
      <c r="CI52" s="236"/>
      <c r="CJ52" s="240"/>
      <c r="CK52" s="241"/>
      <c r="CL52" s="241"/>
      <c r="CM52" s="241"/>
      <c r="CN52" s="241"/>
      <c r="CO52" s="241"/>
      <c r="CP52" s="241"/>
      <c r="CQ52" s="241"/>
      <c r="CR52" s="241"/>
      <c r="CS52" s="241"/>
      <c r="CT52" s="241"/>
      <c r="CU52" s="241"/>
      <c r="CV52" s="241"/>
      <c r="CW52" s="241"/>
      <c r="CX52" s="241"/>
      <c r="CY52" s="241"/>
      <c r="CZ52" s="242"/>
    </row>
    <row r="53" spans="2:108" ht="12" customHeight="1" x14ac:dyDescent="0.25"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231"/>
      <c r="AU53" s="231"/>
      <c r="AV53" s="231"/>
      <c r="AW53" s="231"/>
      <c r="AX53" s="230" t="s">
        <v>66</v>
      </c>
      <c r="AY53" s="230"/>
      <c r="AZ53" s="230"/>
      <c r="BA53" s="230"/>
      <c r="BB53" s="230"/>
      <c r="BC53" s="230"/>
      <c r="BD53" s="230"/>
      <c r="BE53" s="230"/>
      <c r="BF53" s="230"/>
      <c r="BG53" s="231"/>
      <c r="BH53" s="231"/>
      <c r="BI53" s="231"/>
      <c r="BJ53" s="231"/>
      <c r="BK53" s="231"/>
      <c r="BL53" s="231"/>
      <c r="BM53" s="231"/>
      <c r="BN53" s="231"/>
      <c r="BO53" s="231"/>
      <c r="BP53" s="231"/>
      <c r="BQ53" s="231"/>
      <c r="BR53" s="235" t="s">
        <v>67</v>
      </c>
      <c r="BS53" s="235"/>
      <c r="BT53" s="235"/>
      <c r="BU53" s="235"/>
      <c r="BV53" s="235"/>
      <c r="BW53" s="235"/>
      <c r="BX53" s="235"/>
      <c r="BY53" s="236"/>
      <c r="BZ53" s="236"/>
      <c r="CA53" s="236"/>
      <c r="CB53" s="236"/>
      <c r="CC53" s="236"/>
      <c r="CD53" s="236"/>
      <c r="CE53" s="236"/>
      <c r="CF53" s="236"/>
      <c r="CG53" s="236"/>
      <c r="CH53" s="236"/>
      <c r="CI53" s="236"/>
      <c r="CJ53" s="240"/>
      <c r="CK53" s="241"/>
      <c r="CL53" s="241"/>
      <c r="CM53" s="241"/>
      <c r="CN53" s="241"/>
      <c r="CO53" s="241"/>
      <c r="CP53" s="241"/>
      <c r="CQ53" s="241"/>
      <c r="CR53" s="241"/>
      <c r="CS53" s="241"/>
      <c r="CT53" s="241"/>
      <c r="CU53" s="241"/>
      <c r="CV53" s="241"/>
      <c r="CW53" s="241"/>
      <c r="CX53" s="241"/>
      <c r="CY53" s="241"/>
      <c r="CZ53" s="242"/>
    </row>
    <row r="54" spans="2:108" ht="9" customHeight="1" thickBot="1" x14ac:dyDescent="0.3">
      <c r="BY54" s="236"/>
      <c r="BZ54" s="236"/>
      <c r="CA54" s="236"/>
      <c r="CB54" s="236"/>
      <c r="CC54" s="236"/>
      <c r="CD54" s="236"/>
      <c r="CE54" s="236"/>
      <c r="CF54" s="236"/>
      <c r="CG54" s="236"/>
      <c r="CH54" s="236"/>
      <c r="CI54" s="236"/>
      <c r="CJ54" s="243"/>
      <c r="CK54" s="244"/>
      <c r="CL54" s="244"/>
      <c r="CM54" s="244"/>
      <c r="CN54" s="244"/>
      <c r="CO54" s="244"/>
      <c r="CP54" s="244"/>
      <c r="CQ54" s="244"/>
      <c r="CR54" s="244"/>
      <c r="CS54" s="244"/>
      <c r="CT54" s="244"/>
      <c r="CU54" s="244"/>
      <c r="CV54" s="244"/>
      <c r="CW54" s="244"/>
      <c r="CX54" s="244"/>
      <c r="CY54" s="244"/>
      <c r="CZ54" s="245"/>
    </row>
    <row r="55" spans="2:108" ht="15" customHeight="1" x14ac:dyDescent="0.25">
      <c r="B55" s="1" t="s">
        <v>68</v>
      </c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Z55" s="231"/>
      <c r="BA55" s="231"/>
      <c r="BB55" s="231"/>
      <c r="BC55" s="231"/>
      <c r="BD55" s="231"/>
      <c r="BE55" s="231"/>
      <c r="BF55" s="231"/>
      <c r="BG55" s="231"/>
      <c r="BH55" s="231"/>
      <c r="BI55" s="231"/>
      <c r="BJ55" s="231"/>
      <c r="BK55" s="231"/>
      <c r="BL55" s="231"/>
      <c r="BM55" s="231"/>
      <c r="BN55" s="231"/>
      <c r="BO55" s="231"/>
      <c r="BP55" s="231"/>
      <c r="BQ55" s="231"/>
      <c r="BR55" s="231"/>
      <c r="BS55" s="231"/>
      <c r="BT55" s="231"/>
      <c r="BU55" s="231"/>
      <c r="BV55" s="231"/>
      <c r="BW55" s="231"/>
      <c r="BX55" s="231"/>
      <c r="CA55" s="229"/>
      <c r="CB55" s="229"/>
      <c r="CC55" s="229"/>
      <c r="CD55" s="229"/>
      <c r="CE55" s="229"/>
      <c r="CF55" s="229"/>
      <c r="CG55" s="229"/>
      <c r="CH55" s="229"/>
      <c r="CI55" s="229"/>
      <c r="CJ55" s="229"/>
      <c r="CK55" s="229"/>
      <c r="CL55" s="229"/>
      <c r="CM55" s="229"/>
      <c r="CN55" s="229"/>
      <c r="CO55" s="229"/>
      <c r="CP55" s="229"/>
      <c r="CQ55" s="229"/>
      <c r="CR55" s="229"/>
      <c r="CS55" s="229"/>
      <c r="CT55" s="229"/>
      <c r="CU55" s="229"/>
      <c r="CV55" s="229"/>
      <c r="CW55" s="229"/>
      <c r="CX55" s="229"/>
      <c r="CY55" s="229"/>
      <c r="CZ55" s="229"/>
    </row>
    <row r="56" spans="2:108" s="21" customFormat="1" ht="15" customHeight="1" x14ac:dyDescent="0.2">
      <c r="S56" s="232" t="s">
        <v>69</v>
      </c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  <c r="AP56" s="232"/>
      <c r="AQ56" s="232"/>
      <c r="AR56" s="232"/>
      <c r="AS56" s="232"/>
      <c r="AT56" s="232"/>
      <c r="AU56" s="232"/>
      <c r="AV56" s="232"/>
      <c r="AW56" s="232"/>
      <c r="AX56" s="12"/>
      <c r="AY56" s="12"/>
      <c r="AZ56" s="232" t="s">
        <v>70</v>
      </c>
      <c r="BA56" s="232"/>
      <c r="BB56" s="232"/>
      <c r="BC56" s="232"/>
      <c r="BD56" s="232"/>
      <c r="BE56" s="232"/>
      <c r="BF56" s="232"/>
      <c r="BG56" s="232"/>
      <c r="BH56" s="232"/>
      <c r="BI56" s="232"/>
      <c r="BJ56" s="232"/>
      <c r="BK56" s="232"/>
      <c r="BL56" s="232"/>
      <c r="BM56" s="232"/>
      <c r="BN56" s="232"/>
      <c r="BO56" s="232"/>
      <c r="BP56" s="232"/>
      <c r="BQ56" s="232"/>
      <c r="BR56" s="232"/>
      <c r="BS56" s="232"/>
      <c r="BT56" s="232"/>
      <c r="BU56" s="232"/>
      <c r="BV56" s="232"/>
      <c r="BW56" s="232"/>
      <c r="BX56" s="232"/>
      <c r="BY56" s="12"/>
      <c r="BZ56" s="12"/>
      <c r="CA56" s="232" t="s">
        <v>71</v>
      </c>
      <c r="CB56" s="232"/>
      <c r="CC56" s="232"/>
      <c r="CD56" s="232"/>
      <c r="CE56" s="232"/>
      <c r="CF56" s="232"/>
      <c r="CG56" s="232"/>
      <c r="CH56" s="232"/>
      <c r="CI56" s="232"/>
      <c r="CJ56" s="232"/>
      <c r="CK56" s="232"/>
      <c r="CL56" s="232"/>
      <c r="CM56" s="232"/>
      <c r="CN56" s="232"/>
      <c r="CO56" s="232"/>
      <c r="CP56" s="232"/>
      <c r="CQ56" s="232"/>
      <c r="CR56" s="232"/>
      <c r="CS56" s="232"/>
      <c r="CT56" s="232"/>
      <c r="CU56" s="232"/>
      <c r="CV56" s="232"/>
      <c r="CW56" s="232"/>
      <c r="CX56" s="232"/>
      <c r="CY56" s="232"/>
      <c r="CZ56" s="232"/>
    </row>
    <row r="57" spans="2:108" x14ac:dyDescent="0.25">
      <c r="B57" s="1" t="s">
        <v>72</v>
      </c>
      <c r="AL57" s="231" t="s">
        <v>53</v>
      </c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231"/>
      <c r="BD57" s="231"/>
      <c r="BE57" s="231"/>
      <c r="BF57" s="231"/>
      <c r="BG57" s="231"/>
      <c r="BH57" s="231"/>
      <c r="BI57" s="231"/>
      <c r="BJ57" s="231"/>
      <c r="BK57" s="1" t="s">
        <v>73</v>
      </c>
      <c r="CA57" s="231"/>
      <c r="CB57" s="231"/>
      <c r="CC57" s="231"/>
      <c r="CD57" s="231"/>
      <c r="CE57" s="231"/>
      <c r="CF57" s="231"/>
      <c r="CG57" s="231"/>
      <c r="CH57" s="231"/>
      <c r="CI57" s="231"/>
      <c r="CJ57" s="231"/>
      <c r="CK57" s="231"/>
      <c r="CL57" s="231"/>
      <c r="CM57" s="231"/>
      <c r="CN57" s="231"/>
      <c r="CO57" s="231"/>
      <c r="CP57" s="231"/>
      <c r="CQ57" s="231"/>
      <c r="CR57" s="231"/>
      <c r="CS57" s="231"/>
      <c r="CT57" s="231"/>
      <c r="CU57" s="231"/>
      <c r="CV57" s="231"/>
      <c r="CW57" s="231"/>
      <c r="CX57" s="231"/>
      <c r="CY57" s="231"/>
      <c r="CZ57" s="231"/>
    </row>
    <row r="58" spans="2:108" s="21" customFormat="1" ht="15" customHeight="1" x14ac:dyDescent="0.2">
      <c r="AL58" s="232" t="s">
        <v>65</v>
      </c>
      <c r="AM58" s="232"/>
      <c r="AN58" s="232"/>
      <c r="AO58" s="232"/>
      <c r="AP58" s="232"/>
      <c r="AQ58" s="232"/>
      <c r="AR58" s="232"/>
      <c r="AS58" s="232"/>
      <c r="AT58" s="232"/>
      <c r="AU58" s="232"/>
      <c r="AV58" s="232"/>
      <c r="AW58" s="232"/>
      <c r="AX58" s="232"/>
      <c r="AY58" s="232"/>
      <c r="AZ58" s="232"/>
      <c r="BA58" s="232"/>
      <c r="BB58" s="232"/>
      <c r="BC58" s="232"/>
      <c r="BD58" s="232"/>
      <c r="BE58" s="232"/>
      <c r="BF58" s="232"/>
      <c r="BG58" s="232"/>
      <c r="BH58" s="232"/>
      <c r="BI58" s="232"/>
      <c r="BJ58" s="23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232" t="s">
        <v>65</v>
      </c>
      <c r="CB58" s="232"/>
      <c r="CC58" s="232"/>
      <c r="CD58" s="232"/>
      <c r="CE58" s="232"/>
      <c r="CF58" s="232"/>
      <c r="CG58" s="232"/>
      <c r="CH58" s="232"/>
      <c r="CI58" s="232"/>
      <c r="CJ58" s="232"/>
      <c r="CK58" s="232"/>
      <c r="CL58" s="232"/>
      <c r="CM58" s="232"/>
      <c r="CN58" s="232"/>
      <c r="CO58" s="232"/>
      <c r="CP58" s="232"/>
      <c r="CQ58" s="232"/>
      <c r="CR58" s="232"/>
      <c r="CS58" s="232"/>
      <c r="CT58" s="232"/>
      <c r="CU58" s="232"/>
      <c r="CV58" s="232"/>
      <c r="CW58" s="232"/>
      <c r="CX58" s="232"/>
      <c r="CY58" s="232"/>
      <c r="CZ58" s="232"/>
    </row>
    <row r="59" spans="2:108" ht="24" customHeight="1" x14ac:dyDescent="0.25">
      <c r="B59" s="22" t="s">
        <v>74</v>
      </c>
      <c r="G59" s="19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J59" s="229"/>
      <c r="AK59" s="229"/>
      <c r="AL59" s="229"/>
      <c r="AM59" s="229"/>
      <c r="AN59" s="229"/>
      <c r="AO59" s="229"/>
      <c r="AP59" s="229"/>
      <c r="AQ59" s="229"/>
      <c r="AR59" s="229"/>
      <c r="AS59" s="229"/>
      <c r="AT59" s="229"/>
      <c r="AU59" s="229"/>
      <c r="AV59" s="229"/>
      <c r="AW59" s="229"/>
      <c r="AX59" s="229"/>
      <c r="AY59" s="229"/>
      <c r="BA59" s="22" t="s">
        <v>75</v>
      </c>
      <c r="BI59" s="231" t="s">
        <v>76</v>
      </c>
      <c r="BJ59" s="231"/>
      <c r="BK59" s="231"/>
      <c r="BL59" s="231"/>
      <c r="BM59" s="231"/>
      <c r="BN59" s="231"/>
      <c r="BO59" s="231"/>
      <c r="BP59" s="231"/>
      <c r="BQ59" s="231"/>
      <c r="BR59" s="231"/>
      <c r="BS59" s="231"/>
      <c r="BT59" s="231"/>
      <c r="BU59" s="231"/>
      <c r="BX59" s="231"/>
      <c r="BY59" s="231"/>
      <c r="BZ59" s="231"/>
      <c r="CA59" s="231"/>
      <c r="CB59" s="231"/>
      <c r="CC59" s="231"/>
      <c r="CD59" s="231"/>
      <c r="CE59" s="231"/>
      <c r="CF59" s="231"/>
      <c r="CG59" s="231"/>
      <c r="CH59" s="231"/>
      <c r="CK59" s="229"/>
      <c r="CL59" s="229"/>
      <c r="CM59" s="229"/>
      <c r="CN59" s="229"/>
      <c r="CO59" s="229"/>
      <c r="CP59" s="229"/>
      <c r="CQ59" s="229"/>
      <c r="CR59" s="229"/>
      <c r="CS59" s="229"/>
      <c r="CT59" s="229"/>
      <c r="CU59" s="229"/>
      <c r="CV59" s="229"/>
      <c r="CW59" s="229"/>
      <c r="CX59" s="229"/>
      <c r="CY59" s="229"/>
      <c r="CZ59" s="229"/>
    </row>
    <row r="60" spans="2:108" s="21" customFormat="1" ht="15" customHeight="1" x14ac:dyDescent="0.2">
      <c r="H60" s="232" t="s">
        <v>69</v>
      </c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12"/>
      <c r="V60" s="12"/>
      <c r="W60" s="232" t="s">
        <v>70</v>
      </c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12"/>
      <c r="AI60" s="12"/>
      <c r="AJ60" s="232" t="s">
        <v>71</v>
      </c>
      <c r="AK60" s="232"/>
      <c r="AL60" s="232"/>
      <c r="AM60" s="232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  <c r="AX60" s="232"/>
      <c r="AY60" s="232"/>
      <c r="AZ60" s="12"/>
      <c r="BA60" s="12"/>
      <c r="BB60" s="12"/>
      <c r="BC60" s="12"/>
      <c r="BD60" s="12"/>
      <c r="BE60" s="12"/>
      <c r="BF60" s="12"/>
      <c r="BG60" s="12"/>
      <c r="BH60" s="12"/>
      <c r="BI60" s="232" t="s">
        <v>69</v>
      </c>
      <c r="BJ60" s="232"/>
      <c r="BK60" s="232"/>
      <c r="BL60" s="232"/>
      <c r="BM60" s="232"/>
      <c r="BN60" s="232"/>
      <c r="BO60" s="232"/>
      <c r="BP60" s="232"/>
      <c r="BQ60" s="232"/>
      <c r="BR60" s="232"/>
      <c r="BS60" s="232"/>
      <c r="BT60" s="232"/>
      <c r="BU60" s="232"/>
      <c r="BV60" s="12"/>
      <c r="BW60" s="12"/>
      <c r="BX60" s="232" t="s">
        <v>70</v>
      </c>
      <c r="BY60" s="232"/>
      <c r="BZ60" s="232"/>
      <c r="CA60" s="232"/>
      <c r="CB60" s="232"/>
      <c r="CC60" s="232"/>
      <c r="CD60" s="232"/>
      <c r="CE60" s="232"/>
      <c r="CF60" s="232"/>
      <c r="CG60" s="232"/>
      <c r="CH60" s="232"/>
      <c r="CI60" s="12"/>
      <c r="CJ60" s="12"/>
      <c r="CK60" s="232" t="s">
        <v>71</v>
      </c>
      <c r="CL60" s="232"/>
      <c r="CM60" s="232"/>
      <c r="CN60" s="232"/>
      <c r="CO60" s="232"/>
      <c r="CP60" s="232"/>
      <c r="CQ60" s="232"/>
      <c r="CR60" s="232"/>
      <c r="CS60" s="232"/>
      <c r="CT60" s="232"/>
      <c r="CU60" s="232"/>
      <c r="CV60" s="232"/>
      <c r="CW60" s="232"/>
      <c r="CX60" s="232"/>
      <c r="CY60" s="232"/>
      <c r="CZ60" s="232"/>
    </row>
    <row r="61" spans="2:108" x14ac:dyDescent="0.25">
      <c r="B61" s="1" t="s">
        <v>77</v>
      </c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229"/>
      <c r="AF61" s="229"/>
      <c r="AG61" s="229"/>
      <c r="AH61" s="229"/>
      <c r="AI61" s="229"/>
      <c r="AJ61" s="229"/>
      <c r="AK61" s="229"/>
      <c r="AL61" s="229"/>
      <c r="AM61" s="229"/>
      <c r="AN61" s="229"/>
      <c r="AO61" s="229"/>
      <c r="AP61" s="229"/>
      <c r="AQ61" s="229"/>
      <c r="AR61" s="229"/>
      <c r="AS61" s="229"/>
      <c r="AT61" s="229"/>
      <c r="AU61" s="229"/>
      <c r="AV61" s="229"/>
      <c r="AW61" s="229"/>
      <c r="AX61" s="229"/>
      <c r="AY61" s="229"/>
      <c r="AZ61" s="229"/>
      <c r="BA61" s="229"/>
      <c r="BB61" s="229"/>
      <c r="BC61" s="229"/>
      <c r="BD61" s="229"/>
      <c r="BE61" s="229"/>
      <c r="BF61" s="229"/>
      <c r="BG61" s="229"/>
      <c r="BH61" s="229"/>
      <c r="BI61" s="229"/>
      <c r="BJ61" s="229"/>
      <c r="BK61" s="229"/>
      <c r="BL61" s="229"/>
      <c r="BM61" s="229"/>
      <c r="BN61" s="229"/>
      <c r="BO61" s="229"/>
      <c r="BP61" s="229"/>
      <c r="BQ61" s="229"/>
      <c r="BR61" s="229"/>
      <c r="BS61" s="229"/>
      <c r="BT61" s="229"/>
      <c r="BU61" s="229"/>
      <c r="BV61" s="229"/>
      <c r="BW61" s="229"/>
      <c r="BX61" s="230" t="s">
        <v>78</v>
      </c>
      <c r="BY61" s="230"/>
      <c r="BZ61" s="230"/>
      <c r="CA61" s="230"/>
      <c r="CB61" s="230"/>
      <c r="CC61" s="230"/>
      <c r="CD61" s="231"/>
      <c r="CE61" s="231"/>
      <c r="CF61" s="231"/>
      <c r="CG61" s="231"/>
      <c r="CH61" s="231"/>
      <c r="CI61" s="231"/>
      <c r="CJ61" s="231"/>
      <c r="CK61" s="231"/>
      <c r="CL61" s="231"/>
      <c r="CM61" s="231"/>
      <c r="CN61" s="231"/>
      <c r="CO61" s="231"/>
      <c r="CP61" s="231"/>
      <c r="CQ61" s="231"/>
      <c r="CR61" s="231"/>
      <c r="CZ61" s="10" t="s">
        <v>79</v>
      </c>
    </row>
    <row r="62" spans="2:108" x14ac:dyDescent="0.25">
      <c r="N62" s="232" t="s">
        <v>80</v>
      </c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  <c r="AX62" s="232"/>
      <c r="AY62" s="232"/>
      <c r="AZ62" s="232"/>
      <c r="BA62" s="232"/>
      <c r="BB62" s="232"/>
      <c r="BC62" s="232"/>
      <c r="BD62" s="232"/>
      <c r="BE62" s="232"/>
      <c r="BF62" s="232"/>
      <c r="BG62" s="232"/>
      <c r="BH62" s="232"/>
      <c r="BI62" s="232"/>
      <c r="BJ62" s="232"/>
      <c r="BK62" s="232"/>
      <c r="BL62" s="232"/>
      <c r="BM62" s="232"/>
      <c r="BN62" s="232"/>
      <c r="BO62" s="232"/>
      <c r="BP62" s="232"/>
      <c r="BQ62" s="232"/>
      <c r="BR62" s="232"/>
      <c r="BS62" s="232"/>
      <c r="BT62" s="232"/>
      <c r="BU62" s="232"/>
      <c r="BV62" s="232"/>
      <c r="BW62" s="232"/>
    </row>
    <row r="63" spans="2:108" s="23" customFormat="1" x14ac:dyDescent="0.25">
      <c r="DD63" s="24" t="s">
        <v>81</v>
      </c>
    </row>
    <row r="64" spans="2:108" s="23" customFormat="1" x14ac:dyDescent="0.25">
      <c r="DD64" s="24"/>
    </row>
    <row r="65" spans="1:108" s="23" customFormat="1" ht="12" customHeight="1" x14ac:dyDescent="0.25">
      <c r="A65" s="23" t="s">
        <v>82</v>
      </c>
      <c r="BF65" s="227" t="s">
        <v>83</v>
      </c>
      <c r="BG65" s="227"/>
      <c r="BH65" s="227"/>
      <c r="BI65" s="227"/>
      <c r="BJ65" s="227"/>
      <c r="BK65" s="227"/>
      <c r="BL65" s="227"/>
      <c r="BM65" s="227"/>
      <c r="BN65" s="227"/>
      <c r="BO65" s="227"/>
      <c r="BP65" s="227"/>
      <c r="BQ65" s="227"/>
      <c r="BR65" s="227"/>
      <c r="BS65" s="227"/>
      <c r="BT65" s="227"/>
      <c r="BU65" s="227"/>
      <c r="BV65" s="227"/>
      <c r="BW65" s="227"/>
    </row>
    <row r="66" spans="1:108" s="23" customFormat="1" x14ac:dyDescent="0.25">
      <c r="A66" s="23" t="s">
        <v>84</v>
      </c>
      <c r="BF66" s="227"/>
      <c r="BG66" s="227"/>
      <c r="BH66" s="227"/>
      <c r="BI66" s="227"/>
      <c r="BJ66" s="227"/>
      <c r="BK66" s="227"/>
      <c r="BL66" s="227"/>
      <c r="BM66" s="227"/>
      <c r="BN66" s="227"/>
      <c r="BO66" s="227"/>
      <c r="BP66" s="227"/>
      <c r="BQ66" s="227"/>
      <c r="BR66" s="227"/>
      <c r="BS66" s="227"/>
      <c r="BT66" s="227"/>
      <c r="BU66" s="227"/>
      <c r="BV66" s="227"/>
      <c r="BW66" s="227"/>
      <c r="BX66" s="233"/>
      <c r="BY66" s="233"/>
      <c r="BZ66" s="233"/>
      <c r="CA66" s="233"/>
      <c r="CB66" s="233"/>
      <c r="CC66" s="233"/>
      <c r="CD66" s="233"/>
      <c r="CE66" s="233"/>
      <c r="CF66" s="233"/>
      <c r="CG66" s="233"/>
      <c r="CH66" s="233"/>
      <c r="CI66" s="233"/>
      <c r="CJ66" s="233"/>
      <c r="CK66" s="233"/>
      <c r="CL66" s="233"/>
      <c r="CM66" s="233"/>
      <c r="CN66" s="233"/>
      <c r="CO66" s="233"/>
      <c r="CP66" s="233"/>
      <c r="CQ66" s="233"/>
      <c r="CR66" s="233"/>
      <c r="CS66" s="233"/>
      <c r="CT66" s="233"/>
      <c r="CU66" s="233"/>
      <c r="CV66" s="233"/>
      <c r="CW66" s="233"/>
      <c r="CX66" s="233"/>
      <c r="CY66" s="233"/>
      <c r="CZ66" s="233"/>
      <c r="DA66" s="233"/>
      <c r="DB66" s="233"/>
      <c r="DC66" s="233"/>
      <c r="DD66" s="233"/>
    </row>
    <row r="67" spans="1:108" s="23" customFormat="1" ht="18" customHeight="1" x14ac:dyDescent="0.25">
      <c r="A67" s="23" t="s">
        <v>75</v>
      </c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226" t="s">
        <v>85</v>
      </c>
      <c r="BM67" s="226"/>
      <c r="BN67" s="226"/>
      <c r="BO67" s="226"/>
      <c r="BP67" s="226"/>
      <c r="BQ67" s="226"/>
      <c r="BR67" s="226"/>
      <c r="BS67" s="226"/>
      <c r="BT67" s="226"/>
      <c r="BU67" s="226"/>
      <c r="BV67" s="226"/>
      <c r="BW67" s="226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</row>
    <row r="68" spans="1:108" s="25" customFormat="1" ht="18" customHeight="1" x14ac:dyDescent="0.2">
      <c r="I68" s="37" t="s">
        <v>69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26"/>
      <c r="AD68" s="26"/>
      <c r="AE68" s="37" t="s">
        <v>70</v>
      </c>
      <c r="AF68" s="37"/>
      <c r="AG68" s="37"/>
      <c r="AH68" s="37"/>
      <c r="AI68" s="37"/>
      <c r="AJ68" s="37"/>
      <c r="AK68" s="37"/>
      <c r="AL68" s="37"/>
      <c r="AM68" s="37"/>
      <c r="AN68" s="37"/>
      <c r="AO68" s="26"/>
      <c r="AP68" s="26"/>
      <c r="AQ68" s="37" t="s">
        <v>71</v>
      </c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37" t="s">
        <v>70</v>
      </c>
      <c r="BY68" s="37"/>
      <c r="BZ68" s="37"/>
      <c r="CA68" s="37"/>
      <c r="CB68" s="37"/>
      <c r="CC68" s="37"/>
      <c r="CD68" s="37"/>
      <c r="CE68" s="37"/>
      <c r="CF68" s="37"/>
      <c r="CG68" s="37"/>
      <c r="CH68" s="26"/>
      <c r="CI68" s="26"/>
      <c r="CJ68" s="37" t="s">
        <v>71</v>
      </c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</row>
    <row r="69" spans="1:108" s="23" customFormat="1" x14ac:dyDescent="0.25">
      <c r="A69" s="225" t="s">
        <v>86</v>
      </c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Q69" s="227" t="s">
        <v>87</v>
      </c>
      <c r="R69" s="228"/>
      <c r="S69" s="228"/>
      <c r="T69" s="228"/>
      <c r="U69" s="228"/>
      <c r="V69" s="228"/>
      <c r="W69" s="228"/>
      <c r="X69" s="228"/>
      <c r="BM69" s="227" t="s">
        <v>88</v>
      </c>
      <c r="BN69" s="228"/>
      <c r="BO69" s="228"/>
      <c r="BP69" s="228"/>
      <c r="BQ69" s="228"/>
      <c r="BR69" s="228"/>
      <c r="BS69" s="228"/>
      <c r="BT69" s="228"/>
    </row>
    <row r="70" spans="1:108" s="23" customFormat="1" x14ac:dyDescent="0.25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Q70" s="228"/>
      <c r="R70" s="228"/>
      <c r="S70" s="228"/>
      <c r="T70" s="228"/>
      <c r="U70" s="228"/>
      <c r="V70" s="228"/>
      <c r="W70" s="228"/>
      <c r="X70" s="228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M70" s="228"/>
      <c r="BN70" s="228"/>
      <c r="BO70" s="228"/>
      <c r="BP70" s="228"/>
      <c r="BQ70" s="228"/>
      <c r="BR70" s="228"/>
      <c r="BS70" s="228"/>
      <c r="BT70" s="228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</row>
    <row r="71" spans="1:108" s="23" customFormat="1" ht="24" customHeight="1" x14ac:dyDescent="0.3">
      <c r="A71" s="165" t="s">
        <v>89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5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65"/>
      <c r="CG71" s="165"/>
      <c r="CH71" s="165"/>
      <c r="CI71" s="165"/>
      <c r="CJ71" s="165"/>
      <c r="CK71" s="165"/>
      <c r="CL71" s="165"/>
      <c r="CM71" s="165"/>
      <c r="CN71" s="165"/>
      <c r="CO71" s="165"/>
      <c r="CP71" s="165"/>
      <c r="CQ71" s="165"/>
      <c r="CR71" s="165"/>
      <c r="CS71" s="165"/>
      <c r="CT71" s="165"/>
      <c r="CU71" s="165"/>
      <c r="CV71" s="165"/>
      <c r="CW71" s="165"/>
      <c r="CX71" s="165"/>
      <c r="CY71" s="165"/>
      <c r="CZ71" s="165"/>
      <c r="DA71" s="165"/>
      <c r="DB71" s="165"/>
      <c r="DC71" s="165"/>
      <c r="DD71" s="165"/>
    </row>
    <row r="72" spans="1:108" s="23" customFormat="1" ht="9.75" customHeight="1" thickBot="1" x14ac:dyDescent="0.3"/>
    <row r="73" spans="1:108" s="23" customFormat="1" ht="12" thickTop="1" x14ac:dyDescent="0.25">
      <c r="A73" s="92" t="s">
        <v>42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4"/>
      <c r="O73" s="209" t="s">
        <v>90</v>
      </c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  <c r="AG73" s="210"/>
      <c r="AH73" s="211"/>
      <c r="AI73" s="124" t="s">
        <v>91</v>
      </c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4"/>
      <c r="BC73" s="215" t="s">
        <v>92</v>
      </c>
      <c r="BD73" s="216"/>
      <c r="BE73" s="216"/>
      <c r="BF73" s="216"/>
      <c r="BG73" s="216"/>
      <c r="BH73" s="216"/>
      <c r="BI73" s="216"/>
      <c r="BJ73" s="216"/>
      <c r="BK73" s="216"/>
      <c r="BL73" s="216"/>
      <c r="BM73" s="216"/>
      <c r="BN73" s="216"/>
      <c r="BO73" s="216"/>
      <c r="BP73" s="216"/>
      <c r="BQ73" s="216"/>
      <c r="BR73" s="216"/>
      <c r="BS73" s="216"/>
      <c r="BT73" s="216"/>
      <c r="BU73" s="216"/>
      <c r="BV73" s="216"/>
      <c r="BW73" s="216"/>
      <c r="BX73" s="216"/>
      <c r="BY73" s="216"/>
      <c r="BZ73" s="216"/>
      <c r="CA73" s="216"/>
      <c r="CB73" s="216"/>
      <c r="CC73" s="216"/>
      <c r="CD73" s="216"/>
      <c r="CE73" s="216"/>
      <c r="CF73" s="216"/>
      <c r="CG73" s="216"/>
      <c r="CH73" s="216"/>
      <c r="CI73" s="216"/>
      <c r="CJ73" s="216"/>
      <c r="CK73" s="216"/>
      <c r="CL73" s="216"/>
      <c r="CM73" s="216"/>
      <c r="CN73" s="216"/>
      <c r="CO73" s="216"/>
      <c r="CP73" s="216"/>
      <c r="CQ73" s="216"/>
      <c r="CR73" s="216"/>
      <c r="CS73" s="216"/>
      <c r="CT73" s="216"/>
      <c r="CU73" s="216"/>
      <c r="CV73" s="216"/>
      <c r="CW73" s="216"/>
      <c r="CX73" s="216"/>
      <c r="CY73" s="216"/>
      <c r="CZ73" s="216"/>
      <c r="DA73" s="216"/>
      <c r="DB73" s="216"/>
      <c r="DC73" s="216"/>
      <c r="DD73" s="217"/>
    </row>
    <row r="74" spans="1:108" s="23" customFormat="1" x14ac:dyDescent="0.25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7"/>
      <c r="O74" s="212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4"/>
      <c r="AI74" s="95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7"/>
      <c r="BC74" s="218" t="s">
        <v>93</v>
      </c>
      <c r="BD74" s="219"/>
      <c r="BE74" s="219"/>
      <c r="BF74" s="219"/>
      <c r="BG74" s="219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R74" s="219"/>
      <c r="BS74" s="219"/>
      <c r="BT74" s="220"/>
      <c r="BU74" s="222" t="s">
        <v>94</v>
      </c>
      <c r="BV74" s="219"/>
      <c r="BW74" s="219"/>
      <c r="BX74" s="219"/>
      <c r="BY74" s="219"/>
      <c r="BZ74" s="219"/>
      <c r="CA74" s="219"/>
      <c r="CB74" s="219"/>
      <c r="CC74" s="219"/>
      <c r="CD74" s="219"/>
      <c r="CE74" s="219"/>
      <c r="CF74" s="219"/>
      <c r="CG74" s="219"/>
      <c r="CH74" s="219"/>
      <c r="CI74" s="219"/>
      <c r="CJ74" s="219"/>
      <c r="CK74" s="219"/>
      <c r="CL74" s="220"/>
      <c r="CM74" s="222" t="s">
        <v>95</v>
      </c>
      <c r="CN74" s="219"/>
      <c r="CO74" s="219"/>
      <c r="CP74" s="219"/>
      <c r="CQ74" s="219"/>
      <c r="CR74" s="219"/>
      <c r="CS74" s="219"/>
      <c r="CT74" s="219"/>
      <c r="CU74" s="219"/>
      <c r="CV74" s="219"/>
      <c r="CW74" s="219"/>
      <c r="CX74" s="219"/>
      <c r="CY74" s="219"/>
      <c r="CZ74" s="219"/>
      <c r="DA74" s="219"/>
      <c r="DB74" s="219"/>
      <c r="DC74" s="219"/>
      <c r="DD74" s="224"/>
    </row>
    <row r="75" spans="1:108" s="23" customFormat="1" x14ac:dyDescent="0.25">
      <c r="A75" s="98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100"/>
      <c r="O75" s="178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84"/>
      <c r="AI75" s="98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100"/>
      <c r="BC75" s="98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221"/>
      <c r="BU75" s="223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221"/>
      <c r="CM75" s="223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100"/>
    </row>
    <row r="76" spans="1:108" s="23" customFormat="1" ht="12" thickBot="1" x14ac:dyDescent="0.3">
      <c r="A76" s="200">
        <v>15</v>
      </c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2"/>
      <c r="O76" s="203">
        <v>16</v>
      </c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0"/>
      <c r="AE76" s="190"/>
      <c r="AF76" s="190"/>
      <c r="AG76" s="190"/>
      <c r="AH76" s="204"/>
      <c r="AI76" s="205">
        <v>17</v>
      </c>
      <c r="AJ76" s="206"/>
      <c r="AK76" s="206"/>
      <c r="AL76" s="206"/>
      <c r="AM76" s="206"/>
      <c r="AN76" s="206"/>
      <c r="AO76" s="206"/>
      <c r="AP76" s="206"/>
      <c r="AQ76" s="206"/>
      <c r="AR76" s="206"/>
      <c r="AS76" s="206"/>
      <c r="AT76" s="206"/>
      <c r="AU76" s="206"/>
      <c r="AV76" s="206"/>
      <c r="AW76" s="206"/>
      <c r="AX76" s="206"/>
      <c r="AY76" s="206"/>
      <c r="AZ76" s="206"/>
      <c r="BA76" s="206"/>
      <c r="BB76" s="207"/>
      <c r="BC76" s="205">
        <v>18</v>
      </c>
      <c r="BD76" s="206"/>
      <c r="BE76" s="206"/>
      <c r="BF76" s="206"/>
      <c r="BG76" s="206"/>
      <c r="BH76" s="206"/>
      <c r="BI76" s="206"/>
      <c r="BJ76" s="206"/>
      <c r="BK76" s="206"/>
      <c r="BL76" s="206"/>
      <c r="BM76" s="206"/>
      <c r="BN76" s="206"/>
      <c r="BO76" s="206"/>
      <c r="BP76" s="206"/>
      <c r="BQ76" s="206"/>
      <c r="BR76" s="206"/>
      <c r="BS76" s="206"/>
      <c r="BT76" s="208"/>
      <c r="BU76" s="64">
        <v>19</v>
      </c>
      <c r="BV76" s="206"/>
      <c r="BW76" s="206"/>
      <c r="BX76" s="206"/>
      <c r="BY76" s="206"/>
      <c r="BZ76" s="206"/>
      <c r="CA76" s="206"/>
      <c r="CB76" s="206"/>
      <c r="CC76" s="206"/>
      <c r="CD76" s="206"/>
      <c r="CE76" s="206"/>
      <c r="CF76" s="206"/>
      <c r="CG76" s="206"/>
      <c r="CH76" s="206"/>
      <c r="CI76" s="206"/>
      <c r="CJ76" s="206"/>
      <c r="CK76" s="206"/>
      <c r="CL76" s="208"/>
      <c r="CM76" s="64">
        <v>20</v>
      </c>
      <c r="CN76" s="206"/>
      <c r="CO76" s="206"/>
      <c r="CP76" s="206"/>
      <c r="CQ76" s="206"/>
      <c r="CR76" s="206"/>
      <c r="CS76" s="206"/>
      <c r="CT76" s="206"/>
      <c r="CU76" s="206"/>
      <c r="CV76" s="206"/>
      <c r="CW76" s="206"/>
      <c r="CX76" s="206"/>
      <c r="CY76" s="206"/>
      <c r="CZ76" s="206"/>
      <c r="DA76" s="206"/>
      <c r="DB76" s="206"/>
      <c r="DC76" s="206"/>
      <c r="DD76" s="207"/>
    </row>
    <row r="77" spans="1:108" s="23" customFormat="1" ht="15" customHeight="1" x14ac:dyDescent="0.25">
      <c r="A77" s="192" t="s">
        <v>96</v>
      </c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4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6"/>
      <c r="AI77" s="197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6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04"/>
      <c r="BU77" s="115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04"/>
      <c r="CM77" s="115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9"/>
    </row>
    <row r="78" spans="1:108" s="23" customFormat="1" ht="15" customHeight="1" thickBot="1" x14ac:dyDescent="0.3">
      <c r="A78" s="185" t="s">
        <v>97</v>
      </c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186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8"/>
      <c r="AI78" s="189"/>
      <c r="AJ78" s="187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8"/>
      <c r="BC78" s="190"/>
      <c r="BD78" s="190"/>
      <c r="BE78" s="190"/>
      <c r="BF78" s="190"/>
      <c r="BG78" s="190"/>
      <c r="BH78" s="190"/>
      <c r="BI78" s="190"/>
      <c r="BJ78" s="190"/>
      <c r="BK78" s="190"/>
      <c r="BL78" s="190"/>
      <c r="BM78" s="190"/>
      <c r="BN78" s="190"/>
      <c r="BO78" s="190"/>
      <c r="BP78" s="190"/>
      <c r="BQ78" s="190"/>
      <c r="BR78" s="190"/>
      <c r="BS78" s="190"/>
      <c r="BT78" s="73"/>
      <c r="BU78" s="70"/>
      <c r="BV78" s="190"/>
      <c r="BW78" s="190"/>
      <c r="BX78" s="190"/>
      <c r="BY78" s="190"/>
      <c r="BZ78" s="190"/>
      <c r="CA78" s="190"/>
      <c r="CB78" s="190"/>
      <c r="CC78" s="190"/>
      <c r="CD78" s="190"/>
      <c r="CE78" s="190"/>
      <c r="CF78" s="190"/>
      <c r="CG78" s="190"/>
      <c r="CH78" s="190"/>
      <c r="CI78" s="190"/>
      <c r="CJ78" s="190"/>
      <c r="CK78" s="190"/>
      <c r="CL78" s="73"/>
      <c r="CM78" s="70"/>
      <c r="CN78" s="190"/>
      <c r="CO78" s="190"/>
      <c r="CP78" s="190"/>
      <c r="CQ78" s="190"/>
      <c r="CR78" s="190"/>
      <c r="CS78" s="190"/>
      <c r="CT78" s="190"/>
      <c r="CU78" s="190"/>
      <c r="CV78" s="190"/>
      <c r="CW78" s="190"/>
      <c r="CX78" s="190"/>
      <c r="CY78" s="190"/>
      <c r="CZ78" s="190"/>
      <c r="DA78" s="190"/>
      <c r="DB78" s="190"/>
      <c r="DC78" s="190"/>
      <c r="DD78" s="191"/>
    </row>
    <row r="79" spans="1:108" s="23" customFormat="1" ht="12" customHeight="1" thickTop="1" thickBot="1" x14ac:dyDescent="0.3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</row>
    <row r="80" spans="1:108" s="23" customFormat="1" ht="9" customHeight="1" thickTop="1" x14ac:dyDescent="0.25">
      <c r="A80" s="172" t="s">
        <v>98</v>
      </c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4"/>
      <c r="AG80" s="133" t="s">
        <v>99</v>
      </c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5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</row>
    <row r="81" spans="1:108" s="23" customFormat="1" ht="12" customHeight="1" x14ac:dyDescent="0.25">
      <c r="A81" s="45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7"/>
      <c r="AG81" s="136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8"/>
      <c r="BG81" s="23" t="s">
        <v>100</v>
      </c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</row>
    <row r="82" spans="1:108" s="23" customFormat="1" ht="15" customHeight="1" x14ac:dyDescent="0.25">
      <c r="A82" s="175" t="s">
        <v>101</v>
      </c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7"/>
      <c r="O82" s="181" t="s">
        <v>102</v>
      </c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82"/>
      <c r="AG82" s="136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8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</row>
    <row r="83" spans="1:108" s="23" customFormat="1" ht="7.5" customHeight="1" x14ac:dyDescent="0.25">
      <c r="A83" s="178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80"/>
      <c r="O83" s="183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84"/>
      <c r="AG83" s="136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8"/>
    </row>
    <row r="84" spans="1:108" s="23" customFormat="1" ht="12" thickBot="1" x14ac:dyDescent="0.3">
      <c r="A84" s="62">
        <v>21</v>
      </c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0">
        <v>22</v>
      </c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1"/>
      <c r="AG84" s="59">
        <v>23</v>
      </c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1"/>
      <c r="BG84" s="23" t="s">
        <v>103</v>
      </c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</row>
    <row r="85" spans="1:108" s="23" customFormat="1" ht="18" customHeight="1" x14ac:dyDescent="0.25">
      <c r="A85" s="169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1"/>
      <c r="O85" s="154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6"/>
      <c r="AG85" s="160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61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</row>
    <row r="86" spans="1:108" s="23" customFormat="1" ht="6" customHeight="1" x14ac:dyDescent="0.25">
      <c r="A86" s="148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50"/>
      <c r="O86" s="154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6"/>
      <c r="AG86" s="160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61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</row>
    <row r="87" spans="1:108" s="23" customFormat="1" ht="16.5" customHeight="1" x14ac:dyDescent="0.25">
      <c r="A87" s="148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50"/>
      <c r="O87" s="154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6"/>
      <c r="AG87" s="160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61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</row>
    <row r="88" spans="1:108" s="23" customFormat="1" ht="8.25" customHeight="1" thickBot="1" x14ac:dyDescent="0.3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3"/>
      <c r="O88" s="157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9"/>
      <c r="AG88" s="162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4"/>
    </row>
    <row r="89" spans="1:108" s="23" customFormat="1" ht="24.75" customHeight="1" x14ac:dyDescent="0.3">
      <c r="A89" s="165" t="s">
        <v>104</v>
      </c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65"/>
      <c r="BD89" s="165"/>
      <c r="BE89" s="165"/>
      <c r="BF89" s="165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65"/>
      <c r="BR89" s="165"/>
      <c r="BS89" s="165"/>
      <c r="BT89" s="165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65"/>
      <c r="CF89" s="165"/>
      <c r="CG89" s="165"/>
      <c r="CH89" s="165"/>
      <c r="CI89" s="165"/>
      <c r="CJ89" s="165"/>
      <c r="CK89" s="165"/>
      <c r="CL89" s="165"/>
      <c r="CM89" s="165"/>
      <c r="CN89" s="165"/>
      <c r="CO89" s="165"/>
      <c r="CP89" s="165"/>
      <c r="CQ89" s="165"/>
      <c r="CR89" s="165"/>
      <c r="CS89" s="165"/>
      <c r="CT89" s="165"/>
      <c r="CU89" s="165"/>
      <c r="CV89" s="165"/>
      <c r="CW89" s="165"/>
      <c r="CX89" s="165"/>
      <c r="CY89" s="165"/>
      <c r="CZ89" s="165"/>
      <c r="DA89" s="165"/>
      <c r="DB89" s="165"/>
      <c r="DC89" s="165"/>
      <c r="DD89" s="165"/>
    </row>
    <row r="90" spans="1:108" s="23" customFormat="1" ht="2.25" customHeight="1" thickBot="1" x14ac:dyDescent="0.3"/>
    <row r="91" spans="1:108" s="23" customFormat="1" ht="12" thickTop="1" x14ac:dyDescent="0.25">
      <c r="A91" s="166" t="s">
        <v>105</v>
      </c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  <c r="BH91" s="167"/>
      <c r="BI91" s="167"/>
      <c r="BJ91" s="167"/>
      <c r="BK91" s="167"/>
      <c r="BL91" s="167"/>
      <c r="BM91" s="168"/>
      <c r="BN91" s="118" t="s">
        <v>106</v>
      </c>
      <c r="BO91" s="167"/>
      <c r="BP91" s="167"/>
      <c r="BQ91" s="167"/>
      <c r="BR91" s="167"/>
      <c r="BS91" s="167"/>
      <c r="BT91" s="167"/>
      <c r="BU91" s="167"/>
      <c r="BV91" s="167"/>
      <c r="BW91" s="167"/>
      <c r="BX91" s="167"/>
      <c r="BY91" s="167"/>
      <c r="BZ91" s="168"/>
      <c r="CA91" s="166" t="s">
        <v>107</v>
      </c>
      <c r="CB91" s="167"/>
      <c r="CC91" s="167"/>
      <c r="CD91" s="167"/>
      <c r="CE91" s="167"/>
      <c r="CF91" s="167"/>
      <c r="CG91" s="167"/>
      <c r="CH91" s="167"/>
      <c r="CI91" s="167"/>
      <c r="CJ91" s="167"/>
      <c r="CK91" s="167"/>
      <c r="CL91" s="167"/>
      <c r="CM91" s="167"/>
      <c r="CN91" s="167"/>
      <c r="CO91" s="167"/>
      <c r="CP91" s="167"/>
      <c r="CQ91" s="167"/>
      <c r="CR91" s="167"/>
      <c r="CS91" s="167"/>
      <c r="CT91" s="167"/>
      <c r="CU91" s="167"/>
      <c r="CV91" s="167"/>
      <c r="CW91" s="167"/>
      <c r="CX91" s="167"/>
      <c r="CY91" s="167"/>
      <c r="CZ91" s="167"/>
      <c r="DA91" s="167"/>
      <c r="DB91" s="167"/>
      <c r="DC91" s="167"/>
      <c r="DD91" s="168"/>
    </row>
    <row r="92" spans="1:108" s="23" customFormat="1" ht="15" customHeight="1" x14ac:dyDescent="0.25">
      <c r="A92" s="59" t="s">
        <v>108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 t="s">
        <v>109</v>
      </c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 t="s">
        <v>110</v>
      </c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 t="s">
        <v>111</v>
      </c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 t="s">
        <v>112</v>
      </c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1"/>
      <c r="BN92" s="59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1"/>
      <c r="CA92" s="59" t="s">
        <v>113</v>
      </c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 t="s">
        <v>114</v>
      </c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1"/>
    </row>
    <row r="93" spans="1:108" s="23" customFormat="1" ht="12" thickBot="1" x14ac:dyDescent="0.3">
      <c r="A93" s="62">
        <v>24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>
        <v>25</v>
      </c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>
        <v>26</v>
      </c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>
        <v>27</v>
      </c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>
        <v>28</v>
      </c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5"/>
      <c r="BN93" s="62">
        <v>29</v>
      </c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5"/>
      <c r="CA93" s="62">
        <v>30</v>
      </c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  <c r="CO93" s="63"/>
      <c r="CP93" s="63">
        <v>31</v>
      </c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3"/>
      <c r="DB93" s="63"/>
      <c r="DC93" s="63"/>
      <c r="DD93" s="65"/>
    </row>
    <row r="94" spans="1:108" s="23" customFormat="1" ht="15" customHeight="1" thickBot="1" x14ac:dyDescent="0.3">
      <c r="A94" s="142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43"/>
      <c r="BN94" s="144"/>
      <c r="BO94" s="145"/>
      <c r="BP94" s="145"/>
      <c r="BQ94" s="145"/>
      <c r="BR94" s="145"/>
      <c r="BS94" s="145"/>
      <c r="BT94" s="145"/>
      <c r="BU94" s="145"/>
      <c r="BV94" s="145"/>
      <c r="BW94" s="145"/>
      <c r="BX94" s="145"/>
      <c r="BY94" s="145"/>
      <c r="BZ94" s="146"/>
      <c r="CA94" s="147"/>
      <c r="CB94" s="116"/>
      <c r="CC94" s="116"/>
      <c r="CD94" s="116"/>
      <c r="CE94" s="116"/>
      <c r="CF94" s="116"/>
      <c r="CG94" s="11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  <c r="DC94" s="116"/>
      <c r="DD94" s="117"/>
    </row>
    <row r="95" spans="1:108" s="23" customFormat="1" ht="12" customHeight="1" thickBot="1" x14ac:dyDescent="0.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</row>
    <row r="96" spans="1:108" s="23" customFormat="1" ht="12.9" customHeight="1" thickTop="1" x14ac:dyDescent="0.25">
      <c r="A96" s="75" t="s">
        <v>115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89"/>
      <c r="Y96" s="118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20"/>
      <c r="AK96" s="124" t="s">
        <v>116</v>
      </c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6"/>
      <c r="BC96" s="92" t="s">
        <v>117</v>
      </c>
      <c r="BD96" s="93"/>
      <c r="BE96" s="93"/>
      <c r="BF96" s="93"/>
      <c r="BG96" s="93"/>
      <c r="BH96" s="93"/>
      <c r="BI96" s="93"/>
      <c r="BJ96" s="93"/>
      <c r="BK96" s="93"/>
      <c r="BL96" s="93"/>
      <c r="BM96" s="93"/>
      <c r="BN96" s="133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  <c r="BY96" s="134"/>
      <c r="BZ96" s="135"/>
      <c r="CA96" s="124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6"/>
      <c r="CP96" s="124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6"/>
    </row>
    <row r="97" spans="1:108" s="23" customFormat="1" ht="12.9" customHeight="1" x14ac:dyDescent="0.25">
      <c r="A97" s="79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91"/>
      <c r="Y97" s="121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3"/>
      <c r="AK97" s="127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9"/>
      <c r="BC97" s="95"/>
      <c r="BD97" s="96"/>
      <c r="BE97" s="96"/>
      <c r="BF97" s="96"/>
      <c r="BG97" s="96"/>
      <c r="BH97" s="96"/>
      <c r="BI97" s="96"/>
      <c r="BJ97" s="96"/>
      <c r="BK97" s="96"/>
      <c r="BL97" s="96"/>
      <c r="BM97" s="96"/>
      <c r="BN97" s="136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8"/>
      <c r="CA97" s="127"/>
      <c r="CB97" s="128"/>
      <c r="CC97" s="128"/>
      <c r="CD97" s="128"/>
      <c r="CE97" s="128"/>
      <c r="CF97" s="128"/>
      <c r="CG97" s="128"/>
      <c r="CH97" s="128"/>
      <c r="CI97" s="128"/>
      <c r="CJ97" s="128"/>
      <c r="CK97" s="128"/>
      <c r="CL97" s="128"/>
      <c r="CM97" s="128"/>
      <c r="CN97" s="128"/>
      <c r="CO97" s="129"/>
      <c r="CP97" s="127"/>
      <c r="CQ97" s="128"/>
      <c r="CR97" s="128"/>
      <c r="CS97" s="128"/>
      <c r="CT97" s="128"/>
      <c r="CU97" s="128"/>
      <c r="CV97" s="128"/>
      <c r="CW97" s="128"/>
      <c r="CX97" s="128"/>
      <c r="CY97" s="128"/>
      <c r="CZ97" s="128"/>
      <c r="DA97" s="128"/>
      <c r="DB97" s="128"/>
      <c r="DC97" s="128"/>
      <c r="DD97" s="129"/>
    </row>
    <row r="98" spans="1:108" s="23" customFormat="1" ht="12.9" customHeight="1" x14ac:dyDescent="0.25">
      <c r="A98" s="121" t="s">
        <v>118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122" t="s">
        <v>119</v>
      </c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1"/>
      <c r="Y98" s="121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3"/>
      <c r="AK98" s="127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9"/>
      <c r="BC98" s="98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136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8"/>
      <c r="CA98" s="139"/>
      <c r="CB98" s="140"/>
      <c r="CC98" s="140"/>
      <c r="CD98" s="140"/>
      <c r="CE98" s="140"/>
      <c r="CF98" s="140"/>
      <c r="CG98" s="140"/>
      <c r="CH98" s="140"/>
      <c r="CI98" s="140"/>
      <c r="CJ98" s="140"/>
      <c r="CK98" s="140"/>
      <c r="CL98" s="140"/>
      <c r="CM98" s="140"/>
      <c r="CN98" s="140"/>
      <c r="CO98" s="141"/>
      <c r="CP98" s="139"/>
      <c r="CQ98" s="140"/>
      <c r="CR98" s="140"/>
      <c r="CS98" s="140"/>
      <c r="CT98" s="140"/>
      <c r="CU98" s="140"/>
      <c r="CV98" s="140"/>
      <c r="CW98" s="140"/>
      <c r="CX98" s="140"/>
      <c r="CY98" s="140"/>
      <c r="CZ98" s="140"/>
      <c r="DA98" s="140"/>
      <c r="DB98" s="140"/>
      <c r="DC98" s="140"/>
      <c r="DD98" s="141"/>
    </row>
    <row r="99" spans="1:108" s="23" customFormat="1" ht="12.9" customHeight="1" thickBot="1" x14ac:dyDescent="0.3">
      <c r="A99" s="59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1"/>
      <c r="Y99" s="121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3"/>
      <c r="AK99" s="130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2"/>
      <c r="BC99" s="62">
        <v>35</v>
      </c>
      <c r="BD99" s="63"/>
      <c r="BE99" s="63"/>
      <c r="BF99" s="63"/>
      <c r="BG99" s="63"/>
      <c r="BH99" s="63"/>
      <c r="BI99" s="63"/>
      <c r="BJ99" s="63"/>
      <c r="BK99" s="63"/>
      <c r="BL99" s="63"/>
      <c r="BM99" s="64"/>
      <c r="BN99" s="62">
        <v>36</v>
      </c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5"/>
      <c r="CA99" s="62">
        <v>37</v>
      </c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5"/>
      <c r="CP99" s="62">
        <v>38</v>
      </c>
      <c r="CQ99" s="63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5"/>
    </row>
    <row r="100" spans="1:108" s="23" customFormat="1" ht="13.5" customHeight="1" thickTop="1" thickBot="1" x14ac:dyDescent="0.3">
      <c r="A100" s="62">
        <v>32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>
        <v>33</v>
      </c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5"/>
      <c r="Y100" s="62">
        <v>34</v>
      </c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5"/>
      <c r="AK100" s="35"/>
      <c r="AL100" s="35"/>
      <c r="AM100" s="112" t="s">
        <v>120</v>
      </c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3"/>
      <c r="BC100" s="114"/>
      <c r="BD100" s="102"/>
      <c r="BE100" s="102"/>
      <c r="BF100" s="102"/>
      <c r="BG100" s="102"/>
      <c r="BH100" s="102"/>
      <c r="BI100" s="102"/>
      <c r="BJ100" s="102"/>
      <c r="BK100" s="102"/>
      <c r="BL100" s="102"/>
      <c r="BM100" s="115"/>
      <c r="BN100" s="101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3"/>
      <c r="CA100" s="101"/>
      <c r="CB100" s="102"/>
      <c r="CC100" s="102"/>
      <c r="CD100" s="102"/>
      <c r="CE100" s="102"/>
      <c r="CF100" s="102"/>
      <c r="CG100" s="102"/>
      <c r="CH100" s="102"/>
      <c r="CI100" s="102"/>
      <c r="CJ100" s="102"/>
      <c r="CK100" s="102"/>
      <c r="CL100" s="102"/>
      <c r="CM100" s="102"/>
      <c r="CN100" s="102"/>
      <c r="CO100" s="103"/>
      <c r="CP100" s="104"/>
      <c r="CQ100" s="102"/>
      <c r="CR100" s="102"/>
      <c r="CS100" s="102"/>
      <c r="CT100" s="102"/>
      <c r="CU100" s="102"/>
      <c r="CV100" s="102"/>
      <c r="CW100" s="102"/>
      <c r="CX100" s="102"/>
      <c r="CY100" s="102"/>
      <c r="CZ100" s="102"/>
      <c r="DA100" s="102"/>
      <c r="DB100" s="102"/>
      <c r="DC100" s="102"/>
      <c r="DD100" s="105"/>
    </row>
    <row r="101" spans="1:108" s="23" customFormat="1" x14ac:dyDescent="0.25">
      <c r="A101" s="53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5"/>
      <c r="Y101" s="56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8"/>
      <c r="AL101" s="106" t="s">
        <v>121</v>
      </c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7"/>
      <c r="BC101" s="108"/>
      <c r="BD101" s="60"/>
      <c r="BE101" s="60"/>
      <c r="BF101" s="60"/>
      <c r="BG101" s="60"/>
      <c r="BH101" s="60"/>
      <c r="BI101" s="60"/>
      <c r="BJ101" s="60"/>
      <c r="BK101" s="60"/>
      <c r="BL101" s="60"/>
      <c r="BM101" s="109"/>
      <c r="BN101" s="59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1"/>
      <c r="CA101" s="59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1"/>
      <c r="CP101" s="110"/>
      <c r="CQ101" s="60"/>
      <c r="CR101" s="60"/>
      <c r="CS101" s="60"/>
      <c r="CT101" s="60"/>
      <c r="CU101" s="60"/>
      <c r="CV101" s="60"/>
      <c r="CW101" s="60"/>
      <c r="CX101" s="60"/>
      <c r="CY101" s="60"/>
      <c r="CZ101" s="60"/>
      <c r="DA101" s="60"/>
      <c r="DB101" s="60"/>
      <c r="DC101" s="60"/>
      <c r="DD101" s="111"/>
    </row>
    <row r="102" spans="1:108" s="23" customFormat="1" ht="13.5" customHeight="1" thickBot="1" x14ac:dyDescent="0.3">
      <c r="A102" s="42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4"/>
      <c r="Y102" s="46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50"/>
      <c r="AK102" s="36"/>
      <c r="AL102" s="66" t="s">
        <v>122</v>
      </c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7"/>
      <c r="BC102" s="68"/>
      <c r="BD102" s="69"/>
      <c r="BE102" s="69"/>
      <c r="BF102" s="69"/>
      <c r="BG102" s="69"/>
      <c r="BH102" s="69"/>
      <c r="BI102" s="69"/>
      <c r="BJ102" s="69"/>
      <c r="BK102" s="69"/>
      <c r="BL102" s="69"/>
      <c r="BM102" s="70"/>
      <c r="BN102" s="71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72"/>
      <c r="CA102" s="71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72"/>
      <c r="CP102" s="73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74"/>
    </row>
    <row r="103" spans="1:108" s="23" customFormat="1" ht="12" customHeight="1" thickBo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</row>
    <row r="104" spans="1:108" s="23" customFormat="1" ht="21" customHeight="1" thickTop="1" x14ac:dyDescent="0.25">
      <c r="A104" s="75" t="s">
        <v>123</v>
      </c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5" t="s">
        <v>124</v>
      </c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2"/>
      <c r="AQ104" s="75" t="s">
        <v>125</v>
      </c>
      <c r="AR104" s="81"/>
      <c r="AS104" s="81"/>
      <c r="AT104" s="81"/>
      <c r="AU104" s="81"/>
      <c r="AV104" s="81"/>
      <c r="AW104" s="81"/>
      <c r="AX104" s="81"/>
      <c r="AY104" s="81"/>
      <c r="AZ104" s="81"/>
      <c r="BA104" s="82"/>
      <c r="BB104" s="75" t="s">
        <v>126</v>
      </c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89"/>
      <c r="BO104" s="92" t="s">
        <v>127</v>
      </c>
      <c r="BP104" s="93"/>
      <c r="BQ104" s="93"/>
      <c r="BR104" s="93"/>
      <c r="BS104" s="93"/>
      <c r="BT104" s="93"/>
      <c r="BU104" s="93"/>
      <c r="BV104" s="93"/>
      <c r="BW104" s="93"/>
      <c r="BX104" s="93"/>
      <c r="BY104" s="94"/>
      <c r="CB104" s="23" t="s">
        <v>128</v>
      </c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</row>
    <row r="105" spans="1:108" s="23" customFormat="1" ht="7.5" customHeight="1" x14ac:dyDescent="0.25">
      <c r="A105" s="77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83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5"/>
      <c r="AQ105" s="83"/>
      <c r="AR105" s="84"/>
      <c r="AS105" s="84"/>
      <c r="AT105" s="84"/>
      <c r="AU105" s="84"/>
      <c r="AV105" s="84"/>
      <c r="AW105" s="84"/>
      <c r="AX105" s="84"/>
      <c r="AY105" s="84"/>
      <c r="AZ105" s="84"/>
      <c r="BA105" s="85"/>
      <c r="BB105" s="77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90"/>
      <c r="BO105" s="95"/>
      <c r="BP105" s="96"/>
      <c r="BQ105" s="96"/>
      <c r="BR105" s="96"/>
      <c r="BS105" s="96"/>
      <c r="BT105" s="96"/>
      <c r="BU105" s="96"/>
      <c r="BV105" s="96"/>
      <c r="BW105" s="96"/>
      <c r="BX105" s="96"/>
      <c r="BY105" s="97"/>
    </row>
    <row r="106" spans="1:108" s="23" customFormat="1" ht="12.75" customHeight="1" x14ac:dyDescent="0.25">
      <c r="A106" s="77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59" t="s">
        <v>129</v>
      </c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 t="s">
        <v>130</v>
      </c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1"/>
      <c r="AQ106" s="83"/>
      <c r="AR106" s="84"/>
      <c r="AS106" s="84"/>
      <c r="AT106" s="84"/>
      <c r="AU106" s="84"/>
      <c r="AV106" s="84"/>
      <c r="AW106" s="84"/>
      <c r="AX106" s="84"/>
      <c r="AY106" s="84"/>
      <c r="AZ106" s="84"/>
      <c r="BA106" s="85"/>
      <c r="BB106" s="77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90"/>
      <c r="BO106" s="95"/>
      <c r="BP106" s="96"/>
      <c r="BQ106" s="96"/>
      <c r="BR106" s="96"/>
      <c r="BS106" s="96"/>
      <c r="BT106" s="96"/>
      <c r="BU106" s="96"/>
      <c r="BV106" s="96"/>
      <c r="BW106" s="96"/>
      <c r="BX106" s="96"/>
      <c r="BY106" s="97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</row>
    <row r="107" spans="1:108" s="23" customFormat="1" x14ac:dyDescent="0.25">
      <c r="A107" s="79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59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1"/>
      <c r="AQ107" s="86"/>
      <c r="AR107" s="87"/>
      <c r="AS107" s="87"/>
      <c r="AT107" s="87"/>
      <c r="AU107" s="87"/>
      <c r="AV107" s="87"/>
      <c r="AW107" s="87"/>
      <c r="AX107" s="87"/>
      <c r="AY107" s="87"/>
      <c r="AZ107" s="87"/>
      <c r="BA107" s="88"/>
      <c r="BB107" s="79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91"/>
      <c r="BO107" s="98"/>
      <c r="BP107" s="99"/>
      <c r="BQ107" s="99"/>
      <c r="BR107" s="99"/>
      <c r="BS107" s="99"/>
      <c r="BT107" s="99"/>
      <c r="BU107" s="99"/>
      <c r="BV107" s="99"/>
      <c r="BW107" s="99"/>
      <c r="BX107" s="99"/>
      <c r="BY107" s="100"/>
    </row>
    <row r="108" spans="1:108" s="23" customFormat="1" ht="12" thickBot="1" x14ac:dyDescent="0.3">
      <c r="A108" s="62">
        <v>39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4"/>
      <c r="S108" s="62">
        <v>40</v>
      </c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>
        <v>41</v>
      </c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5"/>
      <c r="AQ108" s="62">
        <v>42</v>
      </c>
      <c r="AR108" s="63"/>
      <c r="AS108" s="63"/>
      <c r="AT108" s="63"/>
      <c r="AU108" s="63"/>
      <c r="AV108" s="63"/>
      <c r="AW108" s="63"/>
      <c r="AX108" s="63"/>
      <c r="AY108" s="63"/>
      <c r="AZ108" s="63"/>
      <c r="BA108" s="65"/>
      <c r="BB108" s="62">
        <v>43</v>
      </c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5"/>
      <c r="BO108" s="62">
        <v>44</v>
      </c>
      <c r="BP108" s="63"/>
      <c r="BQ108" s="63"/>
      <c r="BR108" s="63"/>
      <c r="BS108" s="63"/>
      <c r="BT108" s="63"/>
      <c r="BU108" s="63"/>
      <c r="BV108" s="63"/>
      <c r="BW108" s="63"/>
      <c r="BX108" s="63"/>
      <c r="BY108" s="65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</row>
    <row r="109" spans="1:108" s="23" customFormat="1" ht="24" customHeight="1" x14ac:dyDescent="0.25">
      <c r="A109" s="53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5"/>
      <c r="S109" s="56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7"/>
      <c r="AQ109" s="56"/>
      <c r="AR109" s="54"/>
      <c r="AS109" s="54"/>
      <c r="AT109" s="54"/>
      <c r="AU109" s="54"/>
      <c r="AV109" s="54"/>
      <c r="AW109" s="54"/>
      <c r="AX109" s="54"/>
      <c r="AY109" s="54"/>
      <c r="AZ109" s="54"/>
      <c r="BA109" s="57"/>
      <c r="BB109" s="56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7"/>
      <c r="BO109" s="56"/>
      <c r="BP109" s="54"/>
      <c r="BQ109" s="54"/>
      <c r="BR109" s="54"/>
      <c r="BS109" s="54"/>
      <c r="BT109" s="54"/>
      <c r="BU109" s="54"/>
      <c r="BV109" s="54"/>
      <c r="BW109" s="54"/>
      <c r="BX109" s="54"/>
      <c r="BY109" s="58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</row>
    <row r="110" spans="1:108" s="23" customFormat="1" ht="24" customHeight="1" x14ac:dyDescent="0.25">
      <c r="A110" s="39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1"/>
      <c r="S110" s="45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7"/>
      <c r="AQ110" s="45"/>
      <c r="AR110" s="40"/>
      <c r="AS110" s="40"/>
      <c r="AT110" s="40"/>
      <c r="AU110" s="40"/>
      <c r="AV110" s="40"/>
      <c r="AW110" s="40"/>
      <c r="AX110" s="40"/>
      <c r="AY110" s="40"/>
      <c r="AZ110" s="40"/>
      <c r="BA110" s="47"/>
      <c r="BB110" s="45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7"/>
      <c r="BO110" s="45"/>
      <c r="BP110" s="40"/>
      <c r="BQ110" s="40"/>
      <c r="BR110" s="40"/>
      <c r="BS110" s="40"/>
      <c r="BT110" s="40"/>
      <c r="BU110" s="40"/>
      <c r="BV110" s="40"/>
      <c r="BW110" s="40"/>
      <c r="BX110" s="40"/>
      <c r="BY110" s="49"/>
      <c r="CB110" s="23" t="s">
        <v>131</v>
      </c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</row>
    <row r="111" spans="1:108" s="23" customFormat="1" x14ac:dyDescent="0.25">
      <c r="A111" s="39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1"/>
      <c r="S111" s="45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7"/>
      <c r="AQ111" s="45"/>
      <c r="AR111" s="40"/>
      <c r="AS111" s="40"/>
      <c r="AT111" s="40"/>
      <c r="AU111" s="40"/>
      <c r="AV111" s="40"/>
      <c r="AW111" s="40"/>
      <c r="AX111" s="40"/>
      <c r="AY111" s="40"/>
      <c r="AZ111" s="40"/>
      <c r="BA111" s="47"/>
      <c r="BB111" s="45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7"/>
      <c r="BO111" s="45"/>
      <c r="BP111" s="40"/>
      <c r="BQ111" s="40"/>
      <c r="BR111" s="40"/>
      <c r="BS111" s="40"/>
      <c r="BT111" s="40"/>
      <c r="BU111" s="40"/>
      <c r="BV111" s="40"/>
      <c r="BW111" s="40"/>
      <c r="BX111" s="40"/>
      <c r="BY111" s="49"/>
      <c r="CO111" s="37" t="s">
        <v>70</v>
      </c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</row>
    <row r="112" spans="1:108" s="23" customFormat="1" ht="12" thickBot="1" x14ac:dyDescent="0.3">
      <c r="A112" s="42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4"/>
      <c r="S112" s="46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8"/>
      <c r="AQ112" s="46"/>
      <c r="AR112" s="43"/>
      <c r="AS112" s="43"/>
      <c r="AT112" s="43"/>
      <c r="AU112" s="43"/>
      <c r="AV112" s="43"/>
      <c r="AW112" s="43"/>
      <c r="AX112" s="43"/>
      <c r="AY112" s="43"/>
      <c r="AZ112" s="43"/>
      <c r="BA112" s="48"/>
      <c r="BB112" s="46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8"/>
      <c r="BO112" s="46"/>
      <c r="BP112" s="43"/>
      <c r="BQ112" s="43"/>
      <c r="BR112" s="43"/>
      <c r="BS112" s="43"/>
      <c r="BT112" s="43"/>
      <c r="BU112" s="43"/>
      <c r="BV112" s="43"/>
      <c r="BW112" s="43"/>
      <c r="BX112" s="43"/>
      <c r="BY112" s="50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51"/>
      <c r="CY112" s="51"/>
      <c r="CZ112" s="51"/>
      <c r="DA112" s="51"/>
      <c r="DB112" s="51"/>
      <c r="DC112" s="51"/>
      <c r="DD112" s="51"/>
    </row>
    <row r="113" spans="80:108" s="23" customFormat="1" x14ac:dyDescent="0.25">
      <c r="CB113" s="37" t="s">
        <v>71</v>
      </c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</row>
  </sheetData>
  <mergeCells count="302">
    <mergeCell ref="CS5:CV5"/>
    <mergeCell ref="CW5:CZ5"/>
    <mergeCell ref="DA5:DD5"/>
    <mergeCell ref="N6:CF6"/>
    <mergeCell ref="CS6:DD6"/>
    <mergeCell ref="S7:AF7"/>
    <mergeCell ref="BK7:BX7"/>
    <mergeCell ref="CS7:DD7"/>
    <mergeCell ref="BT3:CA3"/>
    <mergeCell ref="CS3:DD3"/>
    <mergeCell ref="AI4:AL4"/>
    <mergeCell ref="AO4:AZ4"/>
    <mergeCell ref="BA4:BD4"/>
    <mergeCell ref="BE4:BH4"/>
    <mergeCell ref="CS4:DD4"/>
    <mergeCell ref="O13:CP13"/>
    <mergeCell ref="O14:CP14"/>
    <mergeCell ref="L16:CP16"/>
    <mergeCell ref="L17:CP17"/>
    <mergeCell ref="L18:BR18"/>
    <mergeCell ref="BU18:CJ19"/>
    <mergeCell ref="CL18:CP19"/>
    <mergeCell ref="AJ9:CP9"/>
    <mergeCell ref="AJ10:CP10"/>
    <mergeCell ref="K11:AY11"/>
    <mergeCell ref="BC11:CP11"/>
    <mergeCell ref="K12:AY12"/>
    <mergeCell ref="BC12:CP12"/>
    <mergeCell ref="CQ26:CZ28"/>
    <mergeCell ref="AY27:BV27"/>
    <mergeCell ref="AG29:AN30"/>
    <mergeCell ref="AO29:BJ30"/>
    <mergeCell ref="CA29:CK31"/>
    <mergeCell ref="CL29:CZ31"/>
    <mergeCell ref="CQ18:CU19"/>
    <mergeCell ref="CV18:CZ19"/>
    <mergeCell ref="L19:BR19"/>
    <mergeCell ref="R21:CZ21"/>
    <mergeCell ref="R22:CZ22"/>
    <mergeCell ref="L23:BZ24"/>
    <mergeCell ref="CQ23:CZ25"/>
    <mergeCell ref="L25:BZ25"/>
    <mergeCell ref="M33:CZ33"/>
    <mergeCell ref="M34:CZ34"/>
    <mergeCell ref="M35:AE35"/>
    <mergeCell ref="AV35:BN35"/>
    <mergeCell ref="CE35:CW35"/>
    <mergeCell ref="A37:T39"/>
    <mergeCell ref="U37:AA39"/>
    <mergeCell ref="AB37:AJ39"/>
    <mergeCell ref="AK37:AR39"/>
    <mergeCell ref="AS37:BS37"/>
    <mergeCell ref="BT37:CI39"/>
    <mergeCell ref="CJ37:CZ39"/>
    <mergeCell ref="AS38:BA39"/>
    <mergeCell ref="BB38:BJ39"/>
    <mergeCell ref="BK38:BS39"/>
    <mergeCell ref="A40:T40"/>
    <mergeCell ref="U40:AA40"/>
    <mergeCell ref="AB40:AJ40"/>
    <mergeCell ref="AK40:AR40"/>
    <mergeCell ref="AS40:BA40"/>
    <mergeCell ref="BB40:BJ40"/>
    <mergeCell ref="BK40:BS40"/>
    <mergeCell ref="BT40:CI40"/>
    <mergeCell ref="CJ40:CZ40"/>
    <mergeCell ref="A41:E42"/>
    <mergeCell ref="F41:T41"/>
    <mergeCell ref="U41:AA41"/>
    <mergeCell ref="AB41:AJ41"/>
    <mergeCell ref="AK41:AR41"/>
    <mergeCell ref="AS41:BA41"/>
    <mergeCell ref="BB41:BJ41"/>
    <mergeCell ref="BK41:BS41"/>
    <mergeCell ref="BT41:CI41"/>
    <mergeCell ref="CJ41:CZ41"/>
    <mergeCell ref="F42:T42"/>
    <mergeCell ref="U42:AA42"/>
    <mergeCell ref="AB42:AJ42"/>
    <mergeCell ref="AK42:AR42"/>
    <mergeCell ref="AS42:BA42"/>
    <mergeCell ref="BB42:BJ42"/>
    <mergeCell ref="U46:AH46"/>
    <mergeCell ref="AI46:AW46"/>
    <mergeCell ref="AX46:BF46"/>
    <mergeCell ref="BG46:BQ46"/>
    <mergeCell ref="BR46:CB46"/>
    <mergeCell ref="CC46:CZ46"/>
    <mergeCell ref="BK42:BS42"/>
    <mergeCell ref="BT42:CI42"/>
    <mergeCell ref="CJ42:CZ42"/>
    <mergeCell ref="U44:AH45"/>
    <mergeCell ref="AI44:AW45"/>
    <mergeCell ref="AX44:BF45"/>
    <mergeCell ref="BG44:BQ45"/>
    <mergeCell ref="BR44:CB45"/>
    <mergeCell ref="CC44:CZ45"/>
    <mergeCell ref="B50:H50"/>
    <mergeCell ref="J50:BX50"/>
    <mergeCell ref="J51:BX51"/>
    <mergeCell ref="BY52:CI54"/>
    <mergeCell ref="CJ52:CZ54"/>
    <mergeCell ref="J53:AW53"/>
    <mergeCell ref="AX53:BF53"/>
    <mergeCell ref="BG53:BQ53"/>
    <mergeCell ref="U47:AH47"/>
    <mergeCell ref="AI47:AW47"/>
    <mergeCell ref="AX47:BF47"/>
    <mergeCell ref="BG47:BQ47"/>
    <mergeCell ref="BR47:CB47"/>
    <mergeCell ref="CC47:CZ47"/>
    <mergeCell ref="BR53:BX53"/>
    <mergeCell ref="S55:AW55"/>
    <mergeCell ref="AZ55:BX55"/>
    <mergeCell ref="CA55:CZ55"/>
    <mergeCell ref="S56:AW56"/>
    <mergeCell ref="AZ56:BX56"/>
    <mergeCell ref="CA56:CZ56"/>
    <mergeCell ref="BY49:CI51"/>
    <mergeCell ref="CJ49:CZ51"/>
    <mergeCell ref="H60:T60"/>
    <mergeCell ref="W60:AG60"/>
    <mergeCell ref="AJ60:AY60"/>
    <mergeCell ref="BI60:BU60"/>
    <mergeCell ref="BX60:CH60"/>
    <mergeCell ref="CK60:CZ60"/>
    <mergeCell ref="AL57:BJ57"/>
    <mergeCell ref="CA57:CZ57"/>
    <mergeCell ref="AL58:BJ58"/>
    <mergeCell ref="CA58:CZ58"/>
    <mergeCell ref="H59:T59"/>
    <mergeCell ref="W59:AG59"/>
    <mergeCell ref="AJ59:AY59"/>
    <mergeCell ref="BI59:BU59"/>
    <mergeCell ref="BX59:CH59"/>
    <mergeCell ref="CK59:CZ59"/>
    <mergeCell ref="I67:AB67"/>
    <mergeCell ref="AE67:AN67"/>
    <mergeCell ref="AQ67:BK67"/>
    <mergeCell ref="BL67:BW67"/>
    <mergeCell ref="BX67:CG67"/>
    <mergeCell ref="CJ67:DD67"/>
    <mergeCell ref="N61:BW61"/>
    <mergeCell ref="BX61:CC61"/>
    <mergeCell ref="CD61:CR61"/>
    <mergeCell ref="N62:BW62"/>
    <mergeCell ref="BF65:BW66"/>
    <mergeCell ref="BX66:DD66"/>
    <mergeCell ref="I68:AB68"/>
    <mergeCell ref="AE68:AN68"/>
    <mergeCell ref="AQ68:BK68"/>
    <mergeCell ref="BX68:CG68"/>
    <mergeCell ref="CJ68:DD68"/>
    <mergeCell ref="A69:N70"/>
    <mergeCell ref="Q69:X70"/>
    <mergeCell ref="BM69:BT70"/>
    <mergeCell ref="Y70:BH70"/>
    <mergeCell ref="BU70:DD70"/>
    <mergeCell ref="A76:N76"/>
    <mergeCell ref="O76:AH76"/>
    <mergeCell ref="AI76:BB76"/>
    <mergeCell ref="BC76:BT76"/>
    <mergeCell ref="BU76:CL76"/>
    <mergeCell ref="CM76:DD76"/>
    <mergeCell ref="A71:DD71"/>
    <mergeCell ref="A73:N75"/>
    <mergeCell ref="O73:AH75"/>
    <mergeCell ref="AI73:BB75"/>
    <mergeCell ref="BC73:DD73"/>
    <mergeCell ref="BC74:BT75"/>
    <mergeCell ref="BU74:CL75"/>
    <mergeCell ref="CM74:DD75"/>
    <mergeCell ref="A78:N78"/>
    <mergeCell ref="O78:AH78"/>
    <mergeCell ref="AI78:BB78"/>
    <mergeCell ref="BC78:BT78"/>
    <mergeCell ref="BU78:CL78"/>
    <mergeCell ref="CM78:DD78"/>
    <mergeCell ref="A77:N77"/>
    <mergeCell ref="O77:AH77"/>
    <mergeCell ref="AI77:BB77"/>
    <mergeCell ref="BC77:BT77"/>
    <mergeCell ref="BU77:CL77"/>
    <mergeCell ref="CM77:DD77"/>
    <mergeCell ref="A84:N84"/>
    <mergeCell ref="O84:AF84"/>
    <mergeCell ref="AG84:BD84"/>
    <mergeCell ref="CI84:DD84"/>
    <mergeCell ref="A85:N86"/>
    <mergeCell ref="O85:AF86"/>
    <mergeCell ref="AG85:BD86"/>
    <mergeCell ref="BG85:DD85"/>
    <mergeCell ref="A80:AF81"/>
    <mergeCell ref="AG80:BD83"/>
    <mergeCell ref="CA81:DD81"/>
    <mergeCell ref="A82:N83"/>
    <mergeCell ref="O82:AF83"/>
    <mergeCell ref="BG82:DD82"/>
    <mergeCell ref="A87:N88"/>
    <mergeCell ref="O87:AF88"/>
    <mergeCell ref="AG87:BD88"/>
    <mergeCell ref="BG87:DD87"/>
    <mergeCell ref="A89:DD89"/>
    <mergeCell ref="A91:BM91"/>
    <mergeCell ref="BN91:BZ92"/>
    <mergeCell ref="CA91:DD91"/>
    <mergeCell ref="A92:M92"/>
    <mergeCell ref="N92:Z92"/>
    <mergeCell ref="AA92:AM92"/>
    <mergeCell ref="AN92:AZ92"/>
    <mergeCell ref="BA92:BM92"/>
    <mergeCell ref="CA92:CO92"/>
    <mergeCell ref="CP92:DD92"/>
    <mergeCell ref="A93:M93"/>
    <mergeCell ref="N93:Z93"/>
    <mergeCell ref="AA93:AM93"/>
    <mergeCell ref="AN93:AZ93"/>
    <mergeCell ref="BA93:BM93"/>
    <mergeCell ref="BN93:BZ93"/>
    <mergeCell ref="CA93:CO93"/>
    <mergeCell ref="CP93:DD93"/>
    <mergeCell ref="A94:M94"/>
    <mergeCell ref="N94:Z94"/>
    <mergeCell ref="AA94:AM94"/>
    <mergeCell ref="AN94:AZ94"/>
    <mergeCell ref="BA94:BM94"/>
    <mergeCell ref="BN94:BZ94"/>
    <mergeCell ref="CA94:CO94"/>
    <mergeCell ref="CP94:DD94"/>
    <mergeCell ref="A96:X97"/>
    <mergeCell ref="Y96:AJ99"/>
    <mergeCell ref="AK96:BB99"/>
    <mergeCell ref="BC96:BM98"/>
    <mergeCell ref="BN96:BZ98"/>
    <mergeCell ref="CA96:CO98"/>
    <mergeCell ref="CP96:DD98"/>
    <mergeCell ref="A98:L99"/>
    <mergeCell ref="M98:X99"/>
    <mergeCell ref="BC99:BM99"/>
    <mergeCell ref="BN99:BZ99"/>
    <mergeCell ref="CA99:CO99"/>
    <mergeCell ref="CP99:DD99"/>
    <mergeCell ref="A100:L100"/>
    <mergeCell ref="M100:X100"/>
    <mergeCell ref="Y100:AJ100"/>
    <mergeCell ref="AM100:BB100"/>
    <mergeCell ref="BC100:BM100"/>
    <mergeCell ref="BN100:BZ100"/>
    <mergeCell ref="CA100:CO100"/>
    <mergeCell ref="CP100:DD100"/>
    <mergeCell ref="A101:L102"/>
    <mergeCell ref="M101:X102"/>
    <mergeCell ref="Y101:AJ102"/>
    <mergeCell ref="AL101:BB101"/>
    <mergeCell ref="BC101:BM101"/>
    <mergeCell ref="BN101:BZ101"/>
    <mergeCell ref="CA101:CO101"/>
    <mergeCell ref="CP101:DD101"/>
    <mergeCell ref="AL102:BB102"/>
    <mergeCell ref="BC102:BM102"/>
    <mergeCell ref="BN102:BZ102"/>
    <mergeCell ref="CA102:CO102"/>
    <mergeCell ref="CP102:DD102"/>
    <mergeCell ref="A104:R107"/>
    <mergeCell ref="S104:AP105"/>
    <mergeCell ref="AQ104:BA107"/>
    <mergeCell ref="BB104:BN107"/>
    <mergeCell ref="BO104:BY107"/>
    <mergeCell ref="CB108:DD108"/>
    <mergeCell ref="A109:R109"/>
    <mergeCell ref="S109:AD109"/>
    <mergeCell ref="AE109:AP109"/>
    <mergeCell ref="AQ109:BA109"/>
    <mergeCell ref="BB109:BN109"/>
    <mergeCell ref="BO109:BY109"/>
    <mergeCell ref="CB109:DD109"/>
    <mergeCell ref="CM104:DD104"/>
    <mergeCell ref="S106:AD107"/>
    <mergeCell ref="AE106:AP107"/>
    <mergeCell ref="CB106:DD106"/>
    <mergeCell ref="A108:R108"/>
    <mergeCell ref="S108:AD108"/>
    <mergeCell ref="AE108:AP108"/>
    <mergeCell ref="AQ108:BA108"/>
    <mergeCell ref="BB108:BN108"/>
    <mergeCell ref="BO108:BY108"/>
    <mergeCell ref="CB113:DD113"/>
    <mergeCell ref="CO110:DD110"/>
    <mergeCell ref="A111:R112"/>
    <mergeCell ref="S111:AD112"/>
    <mergeCell ref="AE111:AP112"/>
    <mergeCell ref="AQ111:BA112"/>
    <mergeCell ref="BB111:BN112"/>
    <mergeCell ref="BO111:BY112"/>
    <mergeCell ref="CO111:DD111"/>
    <mergeCell ref="CB112:DD112"/>
    <mergeCell ref="A110:R110"/>
    <mergeCell ref="S110:AD110"/>
    <mergeCell ref="AE110:AP110"/>
    <mergeCell ref="AQ110:BA110"/>
    <mergeCell ref="BB110:BN110"/>
    <mergeCell ref="BO110:BY110"/>
  </mergeCells>
  <pageMargins left="0.78740157480314965" right="0.39370078740157483" top="0.59055118110236227" bottom="0.39370078740157483" header="0.19685039370078741" footer="0.19685039370078741"/>
  <pageSetup paperSize="9" scale="75" fitToHeight="0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62" max="10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свод</vt:lpstr>
      <vt:lpstr>ттн образец</vt:lpstr>
      <vt:lpstr>'ттн образец'!Print_Area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alinaaleks</dc:creator>
  <cp:lastModifiedBy>Alina Aleks</cp:lastModifiedBy>
  <cp:lastPrinted>2026-06-07T08:38:05Z</cp:lastPrinted>
  <dcterms:created xsi:type="dcterms:W3CDTF">2015-06-05T18:17:20Z</dcterms:created>
  <dcterms:modified xsi:type="dcterms:W3CDTF">2026-06-07T09:19:58Z</dcterms:modified>
</cp:coreProperties>
</file>