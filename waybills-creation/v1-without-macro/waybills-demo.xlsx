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naaleks\Downloads\GitHub\automations\waybills-creation\"/>
    </mc:Choice>
  </mc:AlternateContent>
  <xr:revisionPtr revIDLastSave="0" documentId="13_ncr:1_{F77B4B72-8147-4DE7-9851-861C422316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art" sheetId="137" r:id="rId1"/>
    <sheet name="data" sheetId="1" r:id="rId2"/>
    <sheet name="template" sheetId="3" r:id="rId3"/>
  </sheets>
  <definedNames>
    <definedName name="_xlnm.Print_Area" localSheetId="2">template!$A$1:$DD$113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1" i="3" l="1"/>
  <c r="AJ59" i="3"/>
  <c r="H59" i="3"/>
  <c r="CA55" i="3"/>
  <c r="S55" i="3"/>
  <c r="BK41" i="3"/>
  <c r="BB41" i="3"/>
  <c r="AS41" i="3"/>
  <c r="M33" i="3"/>
  <c r="L23" i="3"/>
  <c r="L18" i="3"/>
  <c r="L16" i="3"/>
  <c r="K11" i="3"/>
  <c r="AJ9" i="3"/>
  <c r="N6" i="3"/>
  <c r="BT3" i="3"/>
  <c r="AA13" i="1"/>
  <c r="AA12" i="1"/>
  <c r="AA11" i="1"/>
  <c r="AA10" i="1"/>
  <c r="AA9" i="1"/>
  <c r="AA8" i="1"/>
  <c r="AA7" i="1"/>
  <c r="AA6" i="1"/>
  <c r="AA5" i="1"/>
  <c r="AA4" i="1"/>
  <c r="CK59" i="3" s="1"/>
  <c r="R4" i="1"/>
  <c r="AY27" i="3" s="1"/>
  <c r="J5" i="1"/>
  <c r="J6" i="1"/>
  <c r="J7" i="1"/>
  <c r="J8" i="1"/>
  <c r="J9" i="1"/>
  <c r="J10" i="1"/>
  <c r="J11" i="1"/>
  <c r="J12" i="1"/>
  <c r="J13" i="1"/>
  <c r="J4" i="1"/>
  <c r="BK7" i="3" s="1"/>
  <c r="I13" i="1"/>
  <c r="I5" i="1"/>
  <c r="I6" i="1"/>
  <c r="I7" i="1"/>
  <c r="I8" i="1"/>
  <c r="I9" i="1"/>
  <c r="I10" i="1"/>
  <c r="I11" i="1"/>
  <c r="I12" i="1"/>
  <c r="I4" i="1"/>
  <c r="P5" i="1"/>
  <c r="P6" i="1"/>
  <c r="P7" i="1"/>
  <c r="P8" i="1"/>
  <c r="P9" i="1"/>
  <c r="P10" i="1"/>
  <c r="P11" i="1"/>
  <c r="P12" i="1"/>
  <c r="P13" i="1"/>
  <c r="P4" i="1"/>
  <c r="R21" i="3" s="1"/>
  <c r="M5" i="1"/>
  <c r="M6" i="1"/>
  <c r="M7" i="1"/>
  <c r="M8" i="1"/>
  <c r="M9" i="1"/>
  <c r="M10" i="1"/>
  <c r="M11" i="1"/>
  <c r="M12" i="1"/>
  <c r="M13" i="1"/>
  <c r="M4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AO4" i="3" s="1"/>
  <c r="E5" i="1"/>
  <c r="E6" i="1"/>
  <c r="E7" i="1"/>
  <c r="E8" i="1"/>
  <c r="E9" i="1"/>
  <c r="E10" i="1"/>
  <c r="E11" i="1"/>
  <c r="E12" i="1"/>
  <c r="E13" i="1"/>
  <c r="E4" i="1"/>
  <c r="BE4" i="3" l="1"/>
  <c r="S7" i="3"/>
  <c r="O13" i="3"/>
  <c r="AI4" i="3"/>
</calcChain>
</file>

<file path=xl/sharedStrings.xml><?xml version="1.0" encoding="utf-8"?>
<sst xmlns="http://schemas.openxmlformats.org/spreadsheetml/2006/main" count="349" uniqueCount="266">
  <si>
    <t>Типовая межотраслевая форма № СП-31</t>
  </si>
  <si>
    <t xml:space="preserve">ТОВАРНО-ТРАНСПОРТНАЯ НАКЛАДНАЯ (зерно) № </t>
  </si>
  <si>
    <t>Коды</t>
  </si>
  <si>
    <t>"</t>
  </si>
  <si>
    <t xml:space="preserve"> г.</t>
  </si>
  <si>
    <t>Форма по ОКУД</t>
  </si>
  <si>
    <t>0325031</t>
  </si>
  <si>
    <t>Дата составления</t>
  </si>
  <si>
    <t>Организация</t>
  </si>
  <si>
    <t>по ОКПО</t>
  </si>
  <si>
    <t>Марка автомобиля</t>
  </si>
  <si>
    <t>Государственный номерной знак</t>
  </si>
  <si>
    <t>к путевому листу №</t>
  </si>
  <si>
    <t xml:space="preserve"> </t>
  </si>
  <si>
    <t>Организация-владелец автотранспорта</t>
  </si>
  <si>
    <t>(наименование, адрес, номер телефона)</t>
  </si>
  <si>
    <t>Водитель</t>
  </si>
  <si>
    <t>коммерческая</t>
  </si>
  <si>
    <t>Заказчик</t>
  </si>
  <si>
    <t>(фамилия, имя, отчество)</t>
  </si>
  <si>
    <t>(вид перевозки)</t>
  </si>
  <si>
    <t>(плательщик)</t>
  </si>
  <si>
    <t>Грузоот-</t>
  </si>
  <si>
    <t>правитель</t>
  </si>
  <si>
    <t>Пункт</t>
  </si>
  <si>
    <t>погрузки</t>
  </si>
  <si>
    <t>Отделение (цех),
бригада, звено</t>
  </si>
  <si>
    <t>(адрес)</t>
  </si>
  <si>
    <t>Грузополучатель</t>
  </si>
  <si>
    <t>разгрузки</t>
  </si>
  <si>
    <t>Маршрут №</t>
  </si>
  <si>
    <t>Прицеп: Государственный номерной знак</t>
  </si>
  <si>
    <t>Гаражный номер</t>
  </si>
  <si>
    <t>Сведения о грузе</t>
  </si>
  <si>
    <t>Счет
(дебет)</t>
  </si>
  <si>
    <t>Счет
(кредит)</t>
  </si>
  <si>
    <t>Продукция</t>
  </si>
  <si>
    <t>(наименование зерновых и масляничных культур, семян, трав)</t>
  </si>
  <si>
    <t>Сорт, класс</t>
  </si>
  <si>
    <t>Засоренность</t>
  </si>
  <si>
    <t xml:space="preserve"> %</t>
  </si>
  <si>
    <t>Влажность</t>
  </si>
  <si>
    <t>Операция</t>
  </si>
  <si>
    <t>Вид
упа-
ковки</t>
  </si>
  <si>
    <t>Коли-
чество</t>
  </si>
  <si>
    <t>Класс
груза</t>
  </si>
  <si>
    <t>Масса, кг</t>
  </si>
  <si>
    <t>Цена, руб. коп.</t>
  </si>
  <si>
    <t>Сумма, руб. коп.</t>
  </si>
  <si>
    <t>брутто</t>
  </si>
  <si>
    <t>тара</t>
  </si>
  <si>
    <t>нетто</t>
  </si>
  <si>
    <t>Отправлено</t>
  </si>
  <si>
    <t>навалом</t>
  </si>
  <si>
    <t>Принято</t>
  </si>
  <si>
    <t>Х</t>
  </si>
  <si>
    <t>За ценные
сорта</t>
  </si>
  <si>
    <t>За сортировку
и упаковку</t>
  </si>
  <si>
    <t>За тару</t>
  </si>
  <si>
    <t>За доставку
продукции</t>
  </si>
  <si>
    <t>Прочие
доплаты</t>
  </si>
  <si>
    <t>Всего к оплате</t>
  </si>
  <si>
    <t>Надбавки - руб. коп.</t>
  </si>
  <si>
    <t>Сумма к</t>
  </si>
  <si>
    <t>оплате</t>
  </si>
  <si>
    <t>(прописью)</t>
  </si>
  <si>
    <t>руб.</t>
  </si>
  <si>
    <t>коп.</t>
  </si>
  <si>
    <t>Отпуск разрешил</t>
  </si>
  <si>
    <t>(должность)</t>
  </si>
  <si>
    <t>(подпись)</t>
  </si>
  <si>
    <t>(расшифровка подписи)</t>
  </si>
  <si>
    <t>Продукцию к перевозке: количество мест</t>
  </si>
  <si>
    <t xml:space="preserve"> массой, нетто, кг</t>
  </si>
  <si>
    <t>сдал</t>
  </si>
  <si>
    <t>принял</t>
  </si>
  <si>
    <t>водитель</t>
  </si>
  <si>
    <t>Приложение</t>
  </si>
  <si>
    <t>на</t>
  </si>
  <si>
    <t>листах</t>
  </si>
  <si>
    <t>(свидетельство, паспорт, сертификаты и т.д.)</t>
  </si>
  <si>
    <t>Оборотная сторона формы № СП-31</t>
  </si>
  <si>
    <t>Продукцию по массе,</t>
  </si>
  <si>
    <t xml:space="preserve"> В весовом журнале
 записано под №</t>
  </si>
  <si>
    <t>качеству и ассортименту</t>
  </si>
  <si>
    <t>Весовщик</t>
  </si>
  <si>
    <t>Способ опреде-
ления массы:</t>
  </si>
  <si>
    <t xml:space="preserve"> при
 приеме</t>
  </si>
  <si>
    <t xml:space="preserve">   при
   сдаче</t>
  </si>
  <si>
    <t>Погрузочно-разгрузочные операции</t>
  </si>
  <si>
    <t>Исполнитель
(АТП, отправитель,
получатель)</t>
  </si>
  <si>
    <r>
      <t xml:space="preserve">Способ
</t>
    </r>
    <r>
      <rPr>
        <sz val="8"/>
        <rFont val="Times New Roman"/>
        <family val="1"/>
        <charset val="204"/>
      </rPr>
      <t>(ручной,
механический)</t>
    </r>
  </si>
  <si>
    <t>Время, ч., мин.</t>
  </si>
  <si>
    <t>прибытия</t>
  </si>
  <si>
    <t>убытия</t>
  </si>
  <si>
    <t>простоя</t>
  </si>
  <si>
    <t xml:space="preserve"> Погрузка</t>
  </si>
  <si>
    <t xml:space="preserve"> Разгрузка</t>
  </si>
  <si>
    <t>Дополнительные операции</t>
  </si>
  <si>
    <t>Подпись ответственного
лица</t>
  </si>
  <si>
    <t>Транспортные услуги</t>
  </si>
  <si>
    <t>время, мин.</t>
  </si>
  <si>
    <t>наименование,
количество</t>
  </si>
  <si>
    <t>Отметки о составленных актах</t>
  </si>
  <si>
    <t>Прочие сведения (заполняется организацией-владельцем автотранспорта)</t>
  </si>
  <si>
    <t>Расстояние перевозки по группам дорог, км</t>
  </si>
  <si>
    <t>Код экспе-
дитора</t>
  </si>
  <si>
    <t>За транспортные услуги</t>
  </si>
  <si>
    <t>всего</t>
  </si>
  <si>
    <t>в городе</t>
  </si>
  <si>
    <t>I группа</t>
  </si>
  <si>
    <t>II группа</t>
  </si>
  <si>
    <t>III группа</t>
  </si>
  <si>
    <t>с клиента</t>
  </si>
  <si>
    <t>водителю</t>
  </si>
  <si>
    <t>Поправочный
коэффициент</t>
  </si>
  <si>
    <t>Расчет
стоимости</t>
  </si>
  <si>
    <t>За тонны</t>
  </si>
  <si>
    <t>расценка
водителю</t>
  </si>
  <si>
    <t>основной
тариф</t>
  </si>
  <si>
    <t>Выполнено</t>
  </si>
  <si>
    <t>Расценка, руб. коп.</t>
  </si>
  <si>
    <t>К оплате, руб. коп.</t>
  </si>
  <si>
    <t>Погрузочно-
разгрузочные
работы,
т</t>
  </si>
  <si>
    <t>Сверхнормативный
простой</t>
  </si>
  <si>
    <t xml:space="preserve">
Прочие
доплаты</t>
  </si>
  <si>
    <t xml:space="preserve">
Скидка за
сокращение
простоя</t>
  </si>
  <si>
    <t>Всего</t>
  </si>
  <si>
    <t>Таксировка:</t>
  </si>
  <si>
    <t>погрузка</t>
  </si>
  <si>
    <t>разгрузка</t>
  </si>
  <si>
    <t>Таксировщик</t>
  </si>
  <si>
    <t>Декларация соответствия</t>
  </si>
  <si>
    <t>id</t>
  </si>
  <si>
    <t>номер</t>
  </si>
  <si>
    <t>день</t>
  </si>
  <si>
    <t>месяц</t>
  </si>
  <si>
    <t>год</t>
  </si>
  <si>
    <t>организация</t>
  </si>
  <si>
    <t>марка_авто</t>
  </si>
  <si>
    <t>орг_владелец_авто</t>
  </si>
  <si>
    <t>заказчик</t>
  </si>
  <si>
    <t>грузоотправитель</t>
  </si>
  <si>
    <t>пункт_погрузки</t>
  </si>
  <si>
    <t>грузополучатель</t>
  </si>
  <si>
    <t>пункт_разгрузки</t>
  </si>
  <si>
    <t>прицеп_гос_номер</t>
  </si>
  <si>
    <t>продукция</t>
  </si>
  <si>
    <t>сдал_должность</t>
  </si>
  <si>
    <t>сдал_фио</t>
  </si>
  <si>
    <t>приложение</t>
  </si>
  <si>
    <t>дата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</si>
  <si>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</si>
  <si>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</si>
  <si>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</si>
  <si>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</si>
  <si>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</si>
  <si>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</si>
  <si>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</si>
  <si>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</si>
  <si>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</si>
  <si>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</si>
  <si>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ВЕ547391</t>
  </si>
  <si>
    <t>РТ932854</t>
  </si>
  <si>
    <t>МН678912</t>
  </si>
  <si>
    <t>АП456782</t>
  </si>
  <si>
    <t>ЕС327109</t>
  </si>
  <si>
    <t>ТР894567</t>
  </si>
  <si>
    <t>ОК213478</t>
  </si>
  <si>
    <t>КМ765981</t>
  </si>
  <si>
    <t>СХ432156</t>
  </si>
  <si>
    <t>водитель_фио</t>
  </si>
  <si>
    <t>Краснодарский край</t>
  </si>
  <si>
    <t>Ростовская обл.</t>
  </si>
  <si>
    <t>пшеница</t>
  </si>
  <si>
    <t>директор</t>
  </si>
  <si>
    <t>кладовщик</t>
  </si>
  <si>
    <t>гос_номер-авто</t>
  </si>
  <si>
    <t>КАМАЗ О975ВВ761 СК214461</t>
  </si>
  <si>
    <t>МАЗ А123МР777 ВЕ547391</t>
  </si>
  <si>
    <t>Мерседес М456ЕХ163 РТ932854</t>
  </si>
  <si>
    <t>КАМАЗ Т789АН402 МН678912</t>
  </si>
  <si>
    <t>КАМАЗ В321ОО599 АП456782</t>
  </si>
  <si>
    <t>МАЗ К654РМ750 ЕС327109</t>
  </si>
  <si>
    <t>Мерседес Н987НН222 ТР894567</t>
  </si>
  <si>
    <t>Вольво С246ЕТ888 ОК213478</t>
  </si>
  <si>
    <t>Вольво Р135РТ311 КМ765981</t>
  </si>
  <si>
    <t>КАМАЗ У864УН049 СХ432156</t>
  </si>
  <si>
    <t>авто</t>
  </si>
  <si>
    <t>исходные данные</t>
  </si>
  <si>
    <t>данные для вставки</t>
  </si>
  <si>
    <t>отпустил_должность</t>
  </si>
  <si>
    <t>отпустил_фио</t>
  </si>
  <si>
    <t>ячмень</t>
  </si>
  <si>
    <t>пшеница 3 класса</t>
  </si>
  <si>
    <t>кукуруза</t>
  </si>
  <si>
    <t>Ставропольский край</t>
  </si>
  <si>
    <t>Таргин Алексей Викторович</t>
  </si>
  <si>
    <t>Моргин Павел Сергеевич</t>
  </si>
  <si>
    <t>Калевин Денис Игоревич</t>
  </si>
  <si>
    <t>Родевский Андрей Николаевич</t>
  </si>
  <si>
    <t>Семиров Артём Викторович</t>
  </si>
  <si>
    <t>Горевин Максим Олегович</t>
  </si>
  <si>
    <t>Даневский Кирилл Андреевич</t>
  </si>
  <si>
    <t>Лемиров Сергей Андреевич</t>
  </si>
  <si>
    <t>Неворин Дмитрий Олегович</t>
  </si>
  <si>
    <t>Заревский Павел Николаевич</t>
  </si>
  <si>
    <t>Иванор Сергей Петрович</t>
  </si>
  <si>
    <t>Смирев Андрей Николаевич</t>
  </si>
  <si>
    <t>Кузнецын Алексей Викторович</t>
  </si>
  <si>
    <t>Попович Денис Олегович</t>
  </si>
  <si>
    <t>Волягин Егор Дмитриевич</t>
  </si>
  <si>
    <t>Крестовин Роман Алексеевич</t>
  </si>
  <si>
    <t>Орлинов Виктор Павлович</t>
  </si>
  <si>
    <t>Белярев Кирилл Сергеевич</t>
  </si>
  <si>
    <t>Снегиров Андрей Олегович</t>
  </si>
  <si>
    <t>Ветровин Денис Игоревич</t>
  </si>
  <si>
    <t>ООО "АгроФлоу X1"</t>
  </si>
  <si>
    <t>ООО "ЗерноПриём 24A"</t>
  </si>
  <si>
    <t>ООО "ГрейнПорт-Х"</t>
  </si>
  <si>
    <t>ООО "АгроЛогистик Z7"</t>
  </si>
  <si>
    <t>ООО "ЮгЗерноСнаб X2"</t>
  </si>
  <si>
    <t>ООО "ПотокАгро Q1"</t>
  </si>
  <si>
    <t>ООО "ТерраГрейн 9X"</t>
  </si>
  <si>
    <t>ООО "ФермаТрейд-Х"</t>
  </si>
  <si>
    <t>ООО "ЗерноХаб 17B"</t>
  </si>
  <si>
    <t>ООО "АгроСклад V3"</t>
  </si>
  <si>
    <t>ООО "АгроЭкспорт X9"</t>
  </si>
  <si>
    <t>ООО "ЗерноОтгрузка 21A"</t>
  </si>
  <si>
    <t>ООО "ТрансАгроЛиния-Х"</t>
  </si>
  <si>
    <t>ООО "ЮгПоставка Q8"</t>
  </si>
  <si>
    <t>ООО "ГрейнСинтез 3X"</t>
  </si>
  <si>
    <t>ООО "АгроВектор Z2"</t>
  </si>
  <si>
    <t>ООО "ПоляТрейд X5"</t>
  </si>
  <si>
    <t>ООО "ЗерноЛайн-24B"</t>
  </si>
  <si>
    <t>ООО "ФлоуАгро V1"</t>
  </si>
  <si>
    <t>ООО "АгроТерминал X7"</t>
  </si>
  <si>
    <t>ООО "ТрансВектор X1"</t>
  </si>
  <si>
    <t>ООО "ГрузЛогистика 14A"</t>
  </si>
  <si>
    <t>ООО "АвтоЗерноПоток-Х"</t>
  </si>
  <si>
    <t>ООО "ЮгТрансСистема Q3"</t>
  </si>
  <si>
    <t>ООО "ГрейнТрансЛайн X8"</t>
  </si>
  <si>
    <t>ООО "АгроАвтоСинтез 6B"</t>
  </si>
  <si>
    <t>ООО "ДорТрансАгро X2"</t>
  </si>
  <si>
    <t>ООО "ЛогистикФлоу 19X"</t>
  </si>
  <si>
    <t>ООО "ЗерноМобиль V4"</t>
  </si>
  <si>
    <t>ООО "ТрансЮгЭкспресс X9"</t>
  </si>
  <si>
    <t>принял_фио_сокр</t>
  </si>
  <si>
    <t>Сидорина М.А.</t>
  </si>
  <si>
    <t>Петровина О.С.</t>
  </si>
  <si>
    <t>Калинина Н.В.</t>
  </si>
  <si>
    <t>Горина Е.А.</t>
  </si>
  <si>
    <t>Таревская И.О.</t>
  </si>
  <si>
    <t>Карпелин М.А.</t>
  </si>
  <si>
    <t>Новаров П.Н.</t>
  </si>
  <si>
    <t>Сольцев А.В.</t>
  </si>
  <si>
    <t>Ардентов И.С.</t>
  </si>
  <si>
    <t>Родина В.А.</t>
  </si>
  <si>
    <t>Автоматизация создания ТТН</t>
  </si>
  <si>
    <t>Данные:</t>
  </si>
  <si>
    <t>Лист data</t>
  </si>
  <si>
    <t>Шаблон:</t>
  </si>
  <si>
    <t>Лист template</t>
  </si>
  <si>
    <t>На главную</t>
  </si>
  <si>
    <t>Создано:</t>
  </si>
  <si>
    <t>Последний запуск: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</si>
</sst>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  <charset val="204"/>
    </font>
    <font>
      <u/>
      <sz val="11"/>
      <color theme="10"/>
      <name val="Segoe UI"/>
      <family val="2"/>
      <charset val="204"/>
    </font>
    <font>
      <b/>
      <sz val="16"/>
      <color theme="1"/>
      <name val="Segoe UI"/>
      <family val="2"/>
      <charset val="204"/>
    </font>
    <font>
      <b/>
      <sz val="11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0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432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/>
    </xf>
    <xf numFmtId="0" fontId="3" fillId="0" borderId="0" xfId="1" applyFont="1"/>
    <xf numFmtId="49" fontId="4" fillId="0" borderId="0" xfId="1" applyNumberFormat="1" applyFont="1" applyAlignment="1">
      <alignment vertical="top"/>
    </xf>
    <xf numFmtId="49" fontId="4" fillId="0" borderId="0" xfId="1" applyNumberFormat="1" applyFont="1" applyAlignment="1">
      <alignment horizontal="right" vertical="top"/>
    </xf>
    <xf numFmtId="0" fontId="5" fillId="0" borderId="0" xfId="1" applyFont="1" applyAlignment="1">
      <alignment horizontal="right"/>
    </xf>
    <xf numFmtId="0" fontId="5" fillId="0" borderId="0" xfId="1" applyFont="1"/>
    <xf numFmtId="0" fontId="2" fillId="0" borderId="0" xfId="1" applyFont="1" applyAlignment="1">
      <alignment horizontal="right"/>
    </xf>
    <xf numFmtId="0" fontId="7" fillId="0" borderId="0" xfId="1" applyFont="1" applyAlignment="1">
      <alignment horizontal="center" vertical="top"/>
    </xf>
    <xf numFmtId="0" fontId="7" fillId="0" borderId="0" xfId="1" applyFont="1" applyAlignment="1">
      <alignment vertical="top"/>
    </xf>
    <xf numFmtId="0" fontId="2" fillId="0" borderId="0" xfId="1" applyFont="1" applyAlignment="1">
      <alignment horizontal="center"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right"/>
    </xf>
    <xf numFmtId="49" fontId="2" fillId="0" borderId="0" xfId="1" applyNumberFormat="1" applyFont="1" applyAlignment="1">
      <alignment horizontal="center" vertical="center"/>
    </xf>
    <xf numFmtId="49" fontId="2" fillId="0" borderId="22" xfId="1" applyNumberFormat="1" applyFont="1" applyBorder="1"/>
    <xf numFmtId="49" fontId="2" fillId="0" borderId="25" xfId="1" applyNumberFormat="1" applyFont="1" applyBorder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 vertical="center"/>
    </xf>
    <xf numFmtId="0" fontId="7" fillId="0" borderId="0" xfId="1" applyFont="1"/>
    <xf numFmtId="0" fontId="8" fillId="0" borderId="0" xfId="1" applyFont="1"/>
    <xf numFmtId="0" fontId="2" fillId="0" borderId="0" xfId="0" applyFont="1"/>
    <xf numFmtId="0" fontId="2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95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3" xfId="0" applyFont="1" applyBorder="1"/>
    <xf numFmtId="0" fontId="2" fillId="0" borderId="17" xfId="0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0" fontId="2" fillId="0" borderId="36" xfId="0" applyFont="1" applyBorder="1"/>
    <xf numFmtId="0" fontId="2" fillId="0" borderId="76" xfId="0" applyFont="1" applyBorder="1"/>
    <xf numFmtId="49" fontId="0" fillId="0" borderId="0" xfId="0" applyNumberFormat="1"/>
    <xf numFmtId="49" fontId="5" fillId="0" borderId="0" xfId="1" applyNumberFormat="1" applyFont="1"/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left" indent="2"/>
    </xf>
    <xf numFmtId="0" fontId="0" fillId="0" borderId="17" xfId="0" applyBorder="1" applyAlignment="1">
      <alignment horizontal="left" indent="2"/>
    </xf>
    <xf numFmtId="0" fontId="0" fillId="0" borderId="20" xfId="0" applyBorder="1" applyAlignment="1">
      <alignment horizontal="left" indent="2"/>
    </xf>
    <xf numFmtId="49" fontId="2" fillId="0" borderId="8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wrapText="1"/>
    </xf>
    <xf numFmtId="0" fontId="3" fillId="2" borderId="9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/>
    </xf>
    <xf numFmtId="49" fontId="5" fillId="0" borderId="0" xfId="1" applyNumberFormat="1" applyFont="1" applyAlignment="1">
      <alignment horizontal="right"/>
    </xf>
    <xf numFmtId="0" fontId="5" fillId="2" borderId="1" xfId="1" applyFont="1" applyFill="1" applyBorder="1"/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left" wrapText="1"/>
    </xf>
    <xf numFmtId="0" fontId="7" fillId="0" borderId="3" xfId="1" applyFont="1" applyBorder="1" applyAlignment="1">
      <alignment horizontal="center" vertical="top"/>
    </xf>
    <xf numFmtId="0" fontId="2" fillId="2" borderId="1" xfId="1" applyFont="1" applyFill="1" applyBorder="1" applyAlignment="1">
      <alignment horizont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49" fontId="2" fillId="0" borderId="21" xfId="1" applyNumberFormat="1" applyFont="1" applyBorder="1" applyAlignment="1">
      <alignment horizontal="center" vertical="center"/>
    </xf>
    <xf numFmtId="49" fontId="2" fillId="0" borderId="22" xfId="1" applyNumberFormat="1" applyFont="1" applyBorder="1" applyAlignment="1">
      <alignment horizontal="center" vertical="center"/>
    </xf>
    <xf numFmtId="49" fontId="2" fillId="0" borderId="23" xfId="1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49" fontId="2" fillId="0" borderId="30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49" fontId="2" fillId="0" borderId="26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7" xfId="1" applyNumberFormat="1" applyFont="1" applyBorder="1" applyAlignment="1">
      <alignment horizontal="center" vertical="center"/>
    </xf>
    <xf numFmtId="49" fontId="2" fillId="0" borderId="28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49" fontId="2" fillId="0" borderId="24" xfId="1" applyNumberFormat="1" applyFont="1" applyBorder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49" fontId="2" fillId="0" borderId="25" xfId="1" applyNumberFormat="1" applyFont="1" applyBorder="1" applyAlignment="1">
      <alignment horizontal="center" vertical="center"/>
    </xf>
    <xf numFmtId="0" fontId="2" fillId="2" borderId="0" xfId="1" applyFont="1" applyFill="1" applyAlignment="1">
      <alignment vertical="center" wrapText="1"/>
    </xf>
    <xf numFmtId="0" fontId="1" fillId="2" borderId="0" xfId="1" applyFill="1" applyAlignment="1">
      <alignment vertical="center" wrapText="1"/>
    </xf>
    <xf numFmtId="0" fontId="1" fillId="2" borderId="1" xfId="1" applyFill="1" applyBorder="1" applyAlignment="1">
      <alignment vertical="center" wrapText="1"/>
    </xf>
    <xf numFmtId="49" fontId="2" fillId="0" borderId="1" xfId="1" applyNumberFormat="1" applyFont="1" applyBorder="1" applyAlignment="1">
      <alignment horizont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45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 wrapText="1"/>
    </xf>
    <xf numFmtId="0" fontId="2" fillId="0" borderId="47" xfId="1" applyFont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2" fillId="0" borderId="39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0" fontId="2" fillId="0" borderId="41" xfId="1" applyFont="1" applyBorder="1" applyAlignment="1">
      <alignment horizontal="center"/>
    </xf>
    <xf numFmtId="0" fontId="2" fillId="0" borderId="3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top"/>
    </xf>
    <xf numFmtId="0" fontId="2" fillId="0" borderId="56" xfId="1" applyFont="1" applyBorder="1" applyAlignment="1">
      <alignment horizontal="center" vertical="top"/>
    </xf>
    <xf numFmtId="0" fontId="2" fillId="0" borderId="57" xfId="1" applyFont="1" applyBorder="1" applyAlignment="1">
      <alignment horizontal="center" vertical="top"/>
    </xf>
    <xf numFmtId="0" fontId="2" fillId="0" borderId="58" xfId="1" applyFont="1" applyBorder="1" applyAlignment="1">
      <alignment horizontal="center" vertical="top"/>
    </xf>
    <xf numFmtId="0" fontId="2" fillId="0" borderId="14" xfId="1" applyFont="1" applyBorder="1" applyAlignment="1">
      <alignment horizontal="center" vertical="top"/>
    </xf>
    <xf numFmtId="0" fontId="2" fillId="0" borderId="59" xfId="1" applyFont="1" applyBorder="1" applyAlignment="1">
      <alignment horizontal="center" vertical="top"/>
    </xf>
    <xf numFmtId="0" fontId="2" fillId="0" borderId="60" xfId="1" applyFont="1" applyBorder="1" applyAlignment="1">
      <alignment horizontal="center" vertical="top"/>
    </xf>
    <xf numFmtId="0" fontId="2" fillId="0" borderId="61" xfId="1" applyFont="1" applyBorder="1" applyAlignment="1">
      <alignment horizontal="center" vertical="top"/>
    </xf>
    <xf numFmtId="0" fontId="2" fillId="0" borderId="62" xfId="1" applyFont="1" applyBorder="1" applyAlignment="1">
      <alignment horizontal="center" vertical="top"/>
    </xf>
    <xf numFmtId="0" fontId="2" fillId="0" borderId="63" xfId="1" applyFont="1" applyBorder="1" applyAlignment="1">
      <alignment horizontal="center" vertical="top"/>
    </xf>
    <xf numFmtId="0" fontId="2" fillId="0" borderId="35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2" fillId="0" borderId="75" xfId="1" applyFont="1" applyBorder="1" applyAlignment="1">
      <alignment horizontal="center"/>
    </xf>
    <xf numFmtId="0" fontId="2" fillId="0" borderId="76" xfId="1" applyFont="1" applyBorder="1" applyAlignment="1">
      <alignment horizontal="center"/>
    </xf>
    <xf numFmtId="0" fontId="2" fillId="0" borderId="36" xfId="1" applyFont="1" applyBorder="1" applyAlignment="1">
      <alignment horizontal="left" vertical="center"/>
    </xf>
    <xf numFmtId="0" fontId="2" fillId="0" borderId="64" xfId="1" applyFont="1" applyBorder="1" applyAlignment="1">
      <alignment horizontal="left" vertical="center"/>
    </xf>
    <xf numFmtId="49" fontId="2" fillId="0" borderId="65" xfId="1" applyNumberFormat="1" applyFont="1" applyBorder="1" applyAlignment="1">
      <alignment horizontal="center" vertical="center"/>
    </xf>
    <xf numFmtId="0" fontId="2" fillId="0" borderId="66" xfId="1" applyFont="1" applyBorder="1" applyAlignment="1">
      <alignment horizontal="center" vertical="center"/>
    </xf>
    <xf numFmtId="0" fontId="2" fillId="0" borderId="67" xfId="1" applyFont="1" applyBorder="1" applyAlignment="1">
      <alignment horizontal="center" vertical="center"/>
    </xf>
    <xf numFmtId="0" fontId="2" fillId="0" borderId="68" xfId="1" applyFont="1" applyBorder="1" applyAlignment="1">
      <alignment horizontal="center" vertical="center"/>
    </xf>
    <xf numFmtId="0" fontId="2" fillId="0" borderId="69" xfId="1" applyFont="1" applyBorder="1" applyAlignment="1">
      <alignment horizontal="center" vertical="center"/>
    </xf>
    <xf numFmtId="0" fontId="2" fillId="0" borderId="70" xfId="1" applyFont="1" applyBorder="1" applyAlignment="1">
      <alignment horizontal="center" vertical="center"/>
    </xf>
    <xf numFmtId="0" fontId="2" fillId="0" borderId="71" xfId="1" applyFont="1" applyBorder="1" applyAlignment="1">
      <alignment horizontal="center" vertical="center"/>
    </xf>
    <xf numFmtId="3" fontId="2" fillId="2" borderId="53" xfId="1" applyNumberFormat="1" applyFont="1" applyFill="1" applyBorder="1" applyAlignment="1">
      <alignment horizontal="center" vertical="center"/>
    </xf>
    <xf numFmtId="3" fontId="2" fillId="2" borderId="72" xfId="1" applyNumberFormat="1" applyFont="1" applyFill="1" applyBorder="1" applyAlignment="1">
      <alignment horizontal="center" vertical="center"/>
    </xf>
    <xf numFmtId="0" fontId="2" fillId="0" borderId="73" xfId="1" applyFont="1" applyBorder="1" applyAlignment="1">
      <alignment horizontal="center" vertical="center"/>
    </xf>
    <xf numFmtId="0" fontId="2" fillId="0" borderId="74" xfId="1" applyFont="1" applyBorder="1" applyAlignment="1">
      <alignment horizontal="center" vertical="center"/>
    </xf>
    <xf numFmtId="0" fontId="2" fillId="0" borderId="76" xfId="1" applyFont="1" applyBorder="1" applyAlignment="1">
      <alignment horizontal="left" vertical="center"/>
    </xf>
    <xf numFmtId="0" fontId="2" fillId="0" borderId="77" xfId="1" applyFont="1" applyBorder="1" applyAlignment="1">
      <alignment horizontal="left" vertical="center"/>
    </xf>
    <xf numFmtId="0" fontId="2" fillId="0" borderId="78" xfId="1" applyFont="1" applyBorder="1" applyAlignment="1">
      <alignment horizontal="center" vertical="center"/>
    </xf>
    <xf numFmtId="0" fontId="2" fillId="0" borderId="79" xfId="1" applyFont="1" applyBorder="1" applyAlignment="1">
      <alignment horizontal="center" vertical="center"/>
    </xf>
    <xf numFmtId="0" fontId="2" fillId="0" borderId="80" xfId="1" applyFont="1" applyBorder="1" applyAlignment="1">
      <alignment horizontal="center" vertical="center"/>
    </xf>
    <xf numFmtId="0" fontId="2" fillId="0" borderId="72" xfId="1" applyFont="1" applyBorder="1" applyAlignment="1">
      <alignment horizontal="center" vertical="center"/>
    </xf>
    <xf numFmtId="0" fontId="2" fillId="0" borderId="83" xfId="1" applyFont="1" applyBorder="1" applyAlignment="1">
      <alignment horizontal="center" vertical="top"/>
    </xf>
    <xf numFmtId="0" fontId="2" fillId="0" borderId="61" xfId="1" applyFont="1" applyBorder="1" applyAlignment="1">
      <alignment horizontal="center" vertical="center"/>
    </xf>
    <xf numFmtId="0" fontId="2" fillId="0" borderId="62" xfId="1" applyFont="1" applyBorder="1" applyAlignment="1">
      <alignment horizontal="center" vertical="center"/>
    </xf>
    <xf numFmtId="0" fontId="2" fillId="0" borderId="81" xfId="1" applyFont="1" applyBorder="1" applyAlignment="1">
      <alignment horizontal="center" vertical="center"/>
    </xf>
    <xf numFmtId="0" fontId="2" fillId="0" borderId="82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top" wrapText="1"/>
    </xf>
    <xf numFmtId="0" fontId="3" fillId="0" borderId="36" xfId="1" applyFont="1" applyBorder="1" applyAlignment="1">
      <alignment horizontal="center" vertical="top" wrapText="1"/>
    </xf>
    <xf numFmtId="0" fontId="3" fillId="0" borderId="37" xfId="1" applyFont="1" applyBorder="1" applyAlignment="1">
      <alignment horizontal="center" vertical="top" wrapText="1"/>
    </xf>
    <xf numFmtId="0" fontId="3" fillId="0" borderId="50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51" xfId="1" applyFont="1" applyBorder="1" applyAlignment="1">
      <alignment horizontal="center" vertical="top" wrapText="1"/>
    </xf>
    <xf numFmtId="0" fontId="3" fillId="0" borderId="36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3" fillId="0" borderId="35" xfId="1" applyFont="1" applyBorder="1" applyAlignment="1">
      <alignment horizontal="center" vertical="top"/>
    </xf>
    <xf numFmtId="0" fontId="3" fillId="0" borderId="37" xfId="1" applyFont="1" applyBorder="1" applyAlignment="1">
      <alignment horizontal="center" vertical="top"/>
    </xf>
    <xf numFmtId="0" fontId="3" fillId="0" borderId="50" xfId="1" applyFont="1" applyBorder="1" applyAlignment="1">
      <alignment horizontal="center" vertical="top"/>
    </xf>
    <xf numFmtId="0" fontId="3" fillId="0" borderId="51" xfId="1" applyFont="1" applyBorder="1" applyAlignment="1">
      <alignment horizontal="center" vertical="top"/>
    </xf>
    <xf numFmtId="0" fontId="2" fillId="0" borderId="0" xfId="1" applyFont="1" applyAlignment="1">
      <alignment horizont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84" xfId="1" applyFont="1" applyBorder="1" applyAlignment="1">
      <alignment horizontal="center"/>
    </xf>
    <xf numFmtId="0" fontId="2" fillId="0" borderId="85" xfId="1" applyFont="1" applyBorder="1" applyAlignment="1">
      <alignment horizontal="center"/>
    </xf>
    <xf numFmtId="0" fontId="2" fillId="0" borderId="86" xfId="1" applyFont="1" applyBorder="1" applyAlignment="1">
      <alignment horizontal="center"/>
    </xf>
    <xf numFmtId="0" fontId="2" fillId="0" borderId="87" xfId="1" applyFont="1" applyBorder="1" applyAlignment="1">
      <alignment horizontal="center"/>
    </xf>
    <xf numFmtId="0" fontId="2" fillId="0" borderId="88" xfId="1" applyFont="1" applyBorder="1" applyAlignment="1">
      <alignment horizontal="center"/>
    </xf>
    <xf numFmtId="0" fontId="2" fillId="0" borderId="0" xfId="1" applyFont="1" applyAlignment="1">
      <alignment horizontal="right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49" fontId="2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89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90" xfId="0" applyFont="1" applyBorder="1" applyAlignment="1">
      <alignment horizontal="center" vertical="top"/>
    </xf>
    <xf numFmtId="0" fontId="2" fillId="0" borderId="58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59" xfId="0" applyFont="1" applyBorder="1" applyAlignment="1">
      <alignment horizontal="center" vertical="top"/>
    </xf>
    <xf numFmtId="0" fontId="2" fillId="0" borderId="48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75" xfId="0" applyFont="1" applyBorder="1" applyAlignment="1">
      <alignment vertical="top"/>
    </xf>
    <xf numFmtId="0" fontId="2" fillId="0" borderId="76" xfId="0" applyFont="1" applyBorder="1" applyAlignment="1">
      <alignment vertical="top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59" xfId="0" applyFont="1" applyBorder="1" applyAlignment="1">
      <alignment horizontal="center" vertical="top" wrapText="1"/>
    </xf>
    <xf numFmtId="0" fontId="2" fillId="0" borderId="58" xfId="0" applyFont="1" applyBorder="1" applyAlignment="1">
      <alignment horizontal="center" vertical="top" wrapText="1"/>
    </xf>
    <xf numFmtId="0" fontId="2" fillId="0" borderId="94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48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65" xfId="0" applyFont="1" applyBorder="1" applyAlignment="1">
      <alignment horizontal="center" vertical="top" wrapText="1"/>
    </xf>
    <xf numFmtId="0" fontId="2" fillId="0" borderId="9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2" fillId="0" borderId="92" xfId="0" applyFont="1" applyBorder="1" applyAlignment="1">
      <alignment horizontal="center" vertical="top"/>
    </xf>
    <xf numFmtId="0" fontId="2" fillId="0" borderId="93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96" xfId="0" applyFont="1" applyBorder="1" applyAlignment="1">
      <alignment horizontal="center" vertical="top"/>
    </xf>
    <xf numFmtId="0" fontId="2" fillId="0" borderId="97" xfId="0" applyFont="1" applyBorder="1" applyAlignment="1">
      <alignment horizontal="center" vertical="top"/>
    </xf>
    <xf numFmtId="0" fontId="2" fillId="0" borderId="43" xfId="0" applyFont="1" applyBorder="1" applyAlignment="1">
      <alignment horizontal="center" vertical="top"/>
    </xf>
    <xf numFmtId="0" fontId="2" fillId="0" borderId="44" xfId="0" applyFont="1" applyBorder="1" applyAlignment="1">
      <alignment horizontal="center" vertical="top"/>
    </xf>
    <xf numFmtId="0" fontId="2" fillId="0" borderId="42" xfId="0" applyFont="1" applyBorder="1" applyAlignment="1">
      <alignment horizontal="center" vertical="top"/>
    </xf>
    <xf numFmtId="0" fontId="2" fillId="0" borderId="1" xfId="0" applyFont="1" applyBorder="1"/>
    <xf numFmtId="0" fontId="2" fillId="0" borderId="74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99" xfId="0" applyFont="1" applyBorder="1" applyAlignment="1">
      <alignment horizontal="center"/>
    </xf>
    <xf numFmtId="0" fontId="2" fillId="0" borderId="98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2" fillId="0" borderId="44" xfId="0" applyFont="1" applyBorder="1" applyAlignment="1">
      <alignment horizontal="center" wrapText="1"/>
    </xf>
    <xf numFmtId="0" fontId="2" fillId="0" borderId="4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2" fillId="0" borderId="100" xfId="0" applyFont="1" applyBorder="1" applyAlignment="1">
      <alignment horizontal="center" wrapText="1"/>
    </xf>
    <xf numFmtId="0" fontId="2" fillId="0" borderId="56" xfId="0" applyFont="1" applyBorder="1" applyAlignment="1">
      <alignment horizontal="center" wrapText="1"/>
    </xf>
    <xf numFmtId="0" fontId="2" fillId="0" borderId="57" xfId="0" applyFont="1" applyBorder="1" applyAlignment="1">
      <alignment horizontal="center" wrapText="1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32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top" wrapText="1"/>
    </xf>
    <xf numFmtId="0" fontId="2" fillId="0" borderId="101" xfId="0" applyFont="1" applyBorder="1" applyAlignment="1">
      <alignment horizontal="center" vertical="top"/>
    </xf>
    <xf numFmtId="0" fontId="2" fillId="0" borderId="102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49" fontId="2" fillId="0" borderId="69" xfId="0" applyNumberFormat="1" applyFont="1" applyBorder="1" applyAlignment="1">
      <alignment horizontal="center"/>
    </xf>
    <xf numFmtId="49" fontId="2" fillId="0" borderId="70" xfId="0" applyNumberFormat="1" applyFont="1" applyBorder="1" applyAlignment="1">
      <alignment horizontal="center"/>
    </xf>
    <xf numFmtId="49" fontId="2" fillId="0" borderId="71" xfId="0" applyNumberFormat="1" applyFont="1" applyBorder="1" applyAlignment="1">
      <alignment horizontal="center"/>
    </xf>
    <xf numFmtId="0" fontId="2" fillId="0" borderId="103" xfId="0" applyFont="1" applyBorder="1" applyAlignment="1">
      <alignment horizontal="center"/>
    </xf>
    <xf numFmtId="0" fontId="2" fillId="0" borderId="104" xfId="0" applyFont="1" applyBorder="1" applyAlignment="1">
      <alignment horizontal="center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/>
    </xf>
    <xf numFmtId="0" fontId="2" fillId="0" borderId="37" xfId="0" applyFont="1" applyBorder="1" applyAlignment="1">
      <alignment horizontal="center" vertical="top"/>
    </xf>
    <xf numFmtId="0" fontId="2" fillId="0" borderId="5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51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42" xfId="0" applyFont="1" applyBorder="1" applyAlignment="1">
      <alignment horizontal="center" vertical="top" wrapText="1"/>
    </xf>
    <xf numFmtId="0" fontId="2" fillId="0" borderId="43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2" fillId="0" borderId="10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36" xfId="0" applyFont="1" applyBorder="1"/>
    <xf numFmtId="0" fontId="2" fillId="0" borderId="64" xfId="0" applyFont="1" applyBorder="1"/>
    <xf numFmtId="0" fontId="2" fillId="0" borderId="74" xfId="0" applyFont="1" applyBorder="1" applyAlignment="1">
      <alignment horizontal="center" vertical="top"/>
    </xf>
    <xf numFmtId="0" fontId="2" fillId="0" borderId="67" xfId="0" applyFont="1" applyBorder="1" applyAlignment="1">
      <alignment horizontal="center" vertical="top"/>
    </xf>
    <xf numFmtId="0" fontId="2" fillId="0" borderId="66" xfId="0" applyFont="1" applyBorder="1" applyAlignment="1">
      <alignment horizontal="center" vertical="top"/>
    </xf>
    <xf numFmtId="0" fontId="2" fillId="0" borderId="68" xfId="0" applyFont="1" applyBorder="1" applyAlignment="1">
      <alignment horizontal="center" vertical="top"/>
    </xf>
    <xf numFmtId="0" fontId="2" fillId="0" borderId="73" xfId="0" applyFont="1" applyBorder="1" applyAlignment="1">
      <alignment horizontal="center" vertical="top"/>
    </xf>
    <xf numFmtId="0" fontId="2" fillId="0" borderId="74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27" xfId="0" applyFont="1" applyBorder="1" applyAlignment="1">
      <alignment vertical="top"/>
    </xf>
    <xf numFmtId="0" fontId="2" fillId="0" borderId="98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99" xfId="0" applyFont="1" applyBorder="1" applyAlignment="1">
      <alignment horizontal="center" vertical="top"/>
    </xf>
    <xf numFmtId="0" fontId="2" fillId="0" borderId="77" xfId="0" applyFont="1" applyBorder="1" applyAlignment="1">
      <alignment vertical="top"/>
    </xf>
    <xf numFmtId="0" fontId="2" fillId="0" borderId="82" xfId="0" applyFont="1" applyBorder="1" applyAlignment="1">
      <alignment horizontal="center" vertical="top"/>
    </xf>
    <xf numFmtId="0" fontId="2" fillId="0" borderId="62" xfId="0" applyFont="1" applyBorder="1" applyAlignment="1">
      <alignment horizontal="center" vertical="top"/>
    </xf>
    <xf numFmtId="0" fontId="2" fillId="0" borderId="61" xfId="0" applyFont="1" applyBorder="1" applyAlignment="1">
      <alignment horizontal="center" vertical="top"/>
    </xf>
    <xf numFmtId="0" fontId="2" fillId="0" borderId="63" xfId="0" applyFont="1" applyBorder="1" applyAlignment="1">
      <alignment horizontal="center" vertical="top"/>
    </xf>
    <xf numFmtId="0" fontId="2" fillId="0" borderId="81" xfId="0" applyFont="1" applyBorder="1" applyAlignment="1">
      <alignment horizontal="center" vertical="top"/>
    </xf>
    <xf numFmtId="0" fontId="2" fillId="0" borderId="4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36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2" fillId="0" borderId="5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/>
    </xf>
    <xf numFmtId="0" fontId="2" fillId="0" borderId="6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9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6" xfId="0" applyFill="1" applyBorder="1" applyAlignment="1">
      <alignment vertical="top" wrapText="1"/>
    </xf>
    <xf numFmtId="0" fontId="0" fillId="0" borderId="27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14" fontId="0" fillId="0" borderId="26" xfId="0" applyNumberFormat="1" applyFill="1" applyBorder="1"/>
    <xf numFmtId="14" fontId="0" fillId="0" borderId="27" xfId="0" applyNumberFormat="1" applyFill="1" applyBorder="1"/>
    <xf numFmtId="0" fontId="0" fillId="0" borderId="26" xfId="0" applyFill="1" applyBorder="1"/>
    <xf numFmtId="49" fontId="0" fillId="0" borderId="0" xfId="0" applyNumberFormat="1" applyFill="1"/>
    <xf numFmtId="0" fontId="0" fillId="0" borderId="0" xfId="0" applyFill="1"/>
    <xf numFmtId="0" fontId="0" fillId="0" borderId="27" xfId="0" applyFill="1" applyBorder="1"/>
    <xf numFmtId="0" fontId="0" fillId="0" borderId="0" xfId="0" applyFill="1" applyAlignment="1">
      <alignment wrapText="1"/>
    </xf>
    <xf numFmtId="14" fontId="0" fillId="0" borderId="21" xfId="0" applyNumberFormat="1" applyFill="1" applyBorder="1"/>
    <xf numFmtId="14" fontId="0" fillId="0" borderId="25" xfId="0" applyNumberFormat="1" applyFill="1" applyBorder="1"/>
    <xf numFmtId="0" fontId="0" fillId="0" borderId="21" xfId="0" applyFill="1" applyBorder="1"/>
    <xf numFmtId="49" fontId="0" fillId="0" borderId="22" xfId="0" applyNumberFormat="1" applyFill="1" applyBorder="1"/>
    <xf numFmtId="0" fontId="0" fillId="0" borderId="22" xfId="0" applyFill="1" applyBorder="1"/>
    <xf numFmtId="0" fontId="0" fillId="0" borderId="25" xfId="0" applyFill="1" applyBorder="1"/>
    <xf numFmtId="0" fontId="11" fillId="0" borderId="0" xfId="2"/>
    <xf numFmtId="0" fontId="11" fillId="0" borderId="21" xfId="2" applyBorder="1" applyAlignment="1">
      <alignment horizontal="left" vertical="center"/>
    </xf>
    <xf numFmtId="0" fontId="12" fillId="0" borderId="0" xfId="0" applyFont="1"/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2" fillId="0" borderId="26" xfId="0" applyFont="1" applyBorder="1"/>
    <xf numFmtId="0" fontId="12" fillId="0" borderId="0" xfId="0" applyFont="1" applyBorder="1"/>
    <xf numFmtId="0" fontId="12" fillId="0" borderId="27" xfId="0" applyFont="1" applyBorder="1"/>
    <xf numFmtId="0" fontId="15" fillId="0" borderId="26" xfId="0" applyFont="1" applyBorder="1"/>
    <xf numFmtId="0" fontId="13" fillId="0" borderId="0" xfId="2" applyFont="1" applyBorder="1"/>
    <xf numFmtId="0" fontId="12" fillId="0" borderId="0" xfId="0" applyFont="1" applyBorder="1" applyAlignment="1">
      <alignment horizontal="left"/>
    </xf>
    <xf numFmtId="0" fontId="15" fillId="0" borderId="26" xfId="0" applyFont="1" applyBorder="1" applyAlignment="1">
      <alignment wrapText="1"/>
    </xf>
    <xf numFmtId="22" fontId="12" fillId="0" borderId="0" xfId="0" applyNumberFormat="1" applyFont="1" applyBorder="1" applyAlignment="1">
      <alignment horizontal="left"/>
    </xf>
    <xf numFmtId="0" fontId="12" fillId="0" borderId="21" xfId="0" applyFont="1" applyBorder="1"/>
    <xf numFmtId="0" fontId="12" fillId="0" borderId="22" xfId="0" applyFont="1" applyBorder="1"/>
    <xf numFmtId="0" fontId="12" fillId="0" borderId="25" xfId="0" applyFont="1" applyBorder="1"/>
  </cellXfs>
  <cellStyles count="3">
    <cellStyle name="Hyperlink" xfId="2" builtinId="8"/>
    <cellStyle name="Normal" xfId="0" builtinId="0"/>
    <cellStyle name="Обычный 3" xfId="1" xr:uid="{5330C3EC-3E98-44BB-B814-C41DEEF872EA}"/>
  </cellStyles>
  <dxfs count="0"/>
  <tableStyles count="0" defaultTableStyle="TableStyleMedium2" defaultPivotStyle="PivotStyleLight16"/>
  <colors>
    <mruColors>
      <color rgb="FFD6EAF8"/>
      <color rgb="FFD9F2D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5</xdr:row>
      <xdr:rowOff>76200</xdr:rowOff>
    </xdr:from>
    <xdr:to>
      <xdr:col>2</xdr:col>
      <xdr:colOff>939800</xdr:colOff>
      <xdr:row>8</xdr:row>
      <xdr:rowOff>50800</xdr:rowOff>
    </xdr:to>
    <xdr:sp macro="[0]!Generate_TTN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9EC43B7-52DE-4B88-ADEE-7053B25B98A8}"/>
            </a:ext>
          </a:extLst>
        </xdr:cNvPr>
        <xdr:cNvSpPr/>
      </xdr:nvSpPr>
      <xdr:spPr>
        <a:xfrm>
          <a:off x="476250" y="1231900"/>
          <a:ext cx="1727200" cy="603250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Создать</a:t>
          </a:r>
          <a:r>
            <a:rPr lang="ru-RU" sz="1200" b="1" baseline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ТТН</a:t>
          </a:r>
          <a:endParaRPr lang="ru-RU" sz="1200" b="1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1181100</xdr:colOff>
      <xdr:row>5</xdr:row>
      <xdr:rowOff>82550</xdr:rowOff>
    </xdr:from>
    <xdr:to>
      <xdr:col>5</xdr:col>
      <xdr:colOff>323850</xdr:colOff>
      <xdr:row>8</xdr:row>
      <xdr:rowOff>57150</xdr:rowOff>
    </xdr:to>
    <xdr:sp macro="[0]!Delete_TTN_Sheets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4A56880-809C-4619-A028-B0176317776A}"/>
            </a:ext>
          </a:extLst>
        </xdr:cNvPr>
        <xdr:cNvSpPr/>
      </xdr:nvSpPr>
      <xdr:spPr>
        <a:xfrm>
          <a:off x="2444750" y="1238250"/>
          <a:ext cx="1657350" cy="603250"/>
        </a:xfrm>
        <a:prstGeom prst="roundRect">
          <a:avLst/>
        </a:prstGeom>
        <a:gradFill flip="none" rotWithShape="1">
          <a:gsLst>
            <a:gs pos="0">
              <a:schemeClr val="accent2">
                <a:lumMod val="5000"/>
                <a:lumOff val="95000"/>
              </a:schemeClr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Удалить созданные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D3EB-AC40-4C9C-B49E-F02567F5ADE3}">
  <sheetPr codeName="Sheet3"/>
  <dimension ref="B1:F13"/>
  <sheetViews>
    <sheetView showGridLines="0" tabSelected="1" workbookViewId="0"/>
  </sheetViews>
  <sheetFormatPr defaultRowHeight="16.5" x14ac:dyDescent="0.45"/>
  <cols>
    <col min="1" max="1" width="4.90625" style="417" customWidth="1"/>
    <col min="2" max="2" width="13.1796875" style="417" customWidth="1"/>
    <col min="3" max="3" width="18.54296875" style="417" customWidth="1"/>
    <col min="4" max="16384" width="8.7265625" style="417"/>
  </cols>
  <sheetData>
    <row r="1" spans="2:6" ht="25" x14ac:dyDescent="0.7">
      <c r="B1" s="418" t="s">
        <v>258</v>
      </c>
      <c r="C1" s="419"/>
      <c r="D1" s="419"/>
      <c r="E1" s="419"/>
      <c r="F1" s="420"/>
    </row>
    <row r="2" spans="2:6" x14ac:dyDescent="0.45">
      <c r="B2" s="421"/>
      <c r="C2" s="422"/>
      <c r="D2" s="422"/>
      <c r="E2" s="422"/>
      <c r="F2" s="423"/>
    </row>
    <row r="3" spans="2:6" x14ac:dyDescent="0.45">
      <c r="B3" s="424" t="s">
        <v>259</v>
      </c>
      <c r="C3" s="425" t="s">
        <v>260</v>
      </c>
      <c r="D3" s="422"/>
      <c r="E3" s="422"/>
      <c r="F3" s="423"/>
    </row>
    <row r="4" spans="2:6" x14ac:dyDescent="0.45">
      <c r="B4" s="424" t="s">
        <v>261</v>
      </c>
      <c r="C4" s="425" t="s">
        <v>262</v>
      </c>
      <c r="D4" s="422"/>
      <c r="E4" s="422"/>
      <c r="F4" s="423"/>
    </row>
    <row r="5" spans="2:6" x14ac:dyDescent="0.45">
      <c r="B5" s="421"/>
      <c r="C5" s="422"/>
      <c r="D5" s="422"/>
      <c r="E5" s="422"/>
      <c r="F5" s="423"/>
    </row>
    <row r="6" spans="2:6" x14ac:dyDescent="0.45">
      <c r="B6" s="421"/>
      <c r="C6" s="422"/>
      <c r="D6" s="422"/>
      <c r="E6" s="422"/>
      <c r="F6" s="423"/>
    </row>
    <row r="7" spans="2:6" x14ac:dyDescent="0.45">
      <c r="B7" s="421"/>
      <c r="C7" s="422"/>
      <c r="D7" s="422"/>
      <c r="E7" s="422"/>
      <c r="F7" s="423"/>
    </row>
    <row r="8" spans="2:6" x14ac:dyDescent="0.45">
      <c r="B8" s="421"/>
      <c r="C8" s="422"/>
      <c r="D8" s="422"/>
      <c r="E8" s="422"/>
      <c r="F8" s="423"/>
    </row>
    <row r="9" spans="2:6" x14ac:dyDescent="0.45">
      <c r="B9" s="421"/>
      <c r="C9" s="422"/>
      <c r="D9" s="422"/>
      <c r="E9" s="422"/>
      <c r="F9" s="423"/>
    </row>
    <row r="10" spans="2:6" x14ac:dyDescent="0.45">
      <c r="B10" s="421"/>
      <c r="C10" s="422"/>
      <c r="D10" s="422"/>
      <c r="E10" s="422"/>
      <c r="F10" s="423"/>
    </row>
    <row r="11" spans="2:6" x14ac:dyDescent="0.45">
      <c r="B11" s="424" t="s">
        <v>264</v>
      </c>
      <c r="C11" s="426">
        <v>10</v>
      </c>
      <c r="D11" s="422"/>
      <c r="E11" s="422"/>
      <c r="F11" s="423"/>
    </row>
    <row r="12" spans="2:6" ht="33" x14ac:dyDescent="0.45">
      <c r="B12" s="427" t="s">
        <v>265</v>
      </c>
      <c r="C12" s="428">
        <v>46180.613645833335</v>
      </c>
      <c r="D12" s="422"/>
      <c r="E12" s="422"/>
      <c r="F12" s="423"/>
    </row>
    <row r="13" spans="2:6" ht="17" thickBot="1" x14ac:dyDescent="0.5">
      <c r="B13" s="429"/>
      <c r="C13" s="430"/>
      <c r="D13" s="430"/>
      <c r="E13" s="430"/>
      <c r="F13" s="431"/>
    </row>
  </sheetData>
  <mergeCells count="1">
    <mergeCell ref="B1:F1"/>
  </mergeCells>
  <hyperlinks>
    <hyperlink ref="C3" location="data!A1" display="Лист data" xr:uid="{37A26C67-1F21-4C3A-8EE3-212624EB5FD7}"/>
    <hyperlink ref="C4" location="template!A1" display="Лист template" xr:uid="{C840975E-E7E6-4E12-818B-6C18AE5A16B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0"/>
  <sheetViews>
    <sheetView workbookViewId="0">
      <selection activeCell="A2" sqref="A2"/>
    </sheetView>
  </sheetViews>
  <sheetFormatPr defaultRowHeight="14.5" x14ac:dyDescent="0.35"/>
  <cols>
    <col min="1" max="1" width="9.90625" bestFit="1" customWidth="1"/>
    <col min="2" max="2" width="18.6328125" customWidth="1"/>
    <col min="3" max="3" width="4.6328125" customWidth="1"/>
    <col min="4" max="4" width="7" customWidth="1"/>
    <col min="5" max="5" width="5" customWidth="1"/>
    <col min="7" max="7" width="4.6328125" customWidth="1"/>
    <col min="8" max="8" width="11.453125" customWidth="1"/>
    <col min="10" max="10" width="10.36328125" customWidth="1"/>
    <col min="11" max="11" width="11.08984375" customWidth="1"/>
    <col min="12" max="12" width="11.26953125" customWidth="1"/>
    <col min="13" max="13" width="9.7265625" customWidth="1"/>
    <col min="14" max="14" width="11.54296875" customWidth="1"/>
    <col min="18" max="18" width="10.6328125" customWidth="1"/>
    <col min="24" max="24" width="11.54296875" customWidth="1"/>
    <col min="26" max="27" width="11.36328125" customWidth="1"/>
  </cols>
  <sheetData>
    <row r="1" spans="1:28" x14ac:dyDescent="0.35">
      <c r="A1" s="37" t="s">
        <v>189</v>
      </c>
      <c r="B1" s="38"/>
      <c r="C1" s="39" t="s">
        <v>190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1"/>
    </row>
    <row r="2" spans="1:28" s="398" customFormat="1" ht="15" thickBot="1" x14ac:dyDescent="0.4">
      <c r="A2" s="416" t="s">
        <v>263</v>
      </c>
      <c r="B2" s="396"/>
      <c r="C2" s="395"/>
      <c r="D2" s="397">
        <v>2</v>
      </c>
      <c r="E2" s="397">
        <v>3</v>
      </c>
      <c r="F2" s="397">
        <v>4</v>
      </c>
      <c r="G2" s="397">
        <v>5</v>
      </c>
      <c r="H2" s="397">
        <v>6</v>
      </c>
      <c r="I2" s="397">
        <v>7</v>
      </c>
      <c r="J2" s="397">
        <v>8</v>
      </c>
      <c r="K2" s="397">
        <v>9</v>
      </c>
      <c r="L2" s="397">
        <v>10</v>
      </c>
      <c r="M2" s="397">
        <v>11</v>
      </c>
      <c r="N2" s="397">
        <v>12</v>
      </c>
      <c r="O2" s="397">
        <v>13</v>
      </c>
      <c r="P2" s="397">
        <v>14</v>
      </c>
      <c r="Q2" s="397">
        <v>15</v>
      </c>
      <c r="R2" s="397">
        <v>16</v>
      </c>
      <c r="S2" s="397">
        <v>17</v>
      </c>
      <c r="T2" s="397">
        <v>18</v>
      </c>
      <c r="U2" s="397">
        <v>19</v>
      </c>
      <c r="V2" s="397">
        <v>20</v>
      </c>
      <c r="W2" s="397">
        <v>21</v>
      </c>
      <c r="X2" s="397">
        <v>22</v>
      </c>
      <c r="Y2" s="397">
        <v>23</v>
      </c>
      <c r="Z2" s="397">
        <v>24</v>
      </c>
      <c r="AA2" s="397">
        <v>25</v>
      </c>
      <c r="AB2" s="396">
        <v>26</v>
      </c>
    </row>
    <row r="3" spans="1:28" s="401" customFormat="1" ht="43.5" x14ac:dyDescent="0.35">
      <c r="A3" s="399" t="s">
        <v>151</v>
      </c>
      <c r="B3" s="400" t="s">
        <v>188</v>
      </c>
      <c r="C3" s="399" t="s">
        <v>133</v>
      </c>
      <c r="D3" s="401" t="s">
        <v>134</v>
      </c>
      <c r="E3" s="401" t="s">
        <v>135</v>
      </c>
      <c r="F3" s="401" t="s">
        <v>136</v>
      </c>
      <c r="G3" s="401" t="s">
        <v>137</v>
      </c>
      <c r="H3" s="401" t="s">
        <v>138</v>
      </c>
      <c r="I3" s="401" t="s">
        <v>139</v>
      </c>
      <c r="J3" s="401" t="s">
        <v>177</v>
      </c>
      <c r="K3" s="401" t="s">
        <v>140</v>
      </c>
      <c r="L3" s="401" t="s">
        <v>171</v>
      </c>
      <c r="M3" s="401" t="s">
        <v>141</v>
      </c>
      <c r="N3" s="401" t="s">
        <v>142</v>
      </c>
      <c r="O3" s="401" t="s">
        <v>143</v>
      </c>
      <c r="P3" s="401" t="s">
        <v>144</v>
      </c>
      <c r="Q3" s="401" t="s">
        <v>145</v>
      </c>
      <c r="R3" s="401" t="s">
        <v>146</v>
      </c>
      <c r="S3" s="401" t="s">
        <v>147</v>
      </c>
      <c r="T3" s="401" t="s">
        <v>49</v>
      </c>
      <c r="U3" s="401" t="s">
        <v>50</v>
      </c>
      <c r="V3" s="401" t="s">
        <v>51</v>
      </c>
      <c r="W3" s="401" t="s">
        <v>191</v>
      </c>
      <c r="X3" s="401" t="s">
        <v>192</v>
      </c>
      <c r="Y3" s="401" t="s">
        <v>148</v>
      </c>
      <c r="Z3" s="401" t="s">
        <v>149</v>
      </c>
      <c r="AA3" s="401" t="s">
        <v>247</v>
      </c>
      <c r="AB3" s="400" t="s">
        <v>150</v>
      </c>
    </row>
    <row r="4" spans="1:28" s="406" customFormat="1" x14ac:dyDescent="0.35">
      <c r="A4" s="402">
        <v>45915</v>
      </c>
      <c r="B4" s="403" t="s">
        <v>178</v>
      </c>
      <c r="C4" s="404">
        <v>1</v>
      </c>
      <c r="D4" s="405" t="s">
        <v>152</v>
      </c>
      <c r="E4" s="406">
        <f>DAY(A4)</f>
        <v>15</v>
      </c>
      <c r="F4" s="406" t="str">
        <f>CHOOSE(MONTH(A4),"января","февраля","марта","апреля","мая","июня","июля","августа","сентября","октября","ноября","декабря")</f>
        <v>сентября</v>
      </c>
      <c r="G4" s="406">
        <f>MOD(YEAR(A4),100)</f>
        <v>25</v>
      </c>
      <c r="H4" s="406" t="s">
        <v>217</v>
      </c>
      <c r="I4" s="406" t="str">
        <f>LEFT(B4,FIND(" ",B4)-1)</f>
        <v>КАМАЗ</v>
      </c>
      <c r="J4" s="406" t="str">
        <f>MID(B4,FIND(" ",B4)+1,FIND(" ",B4,FIND(" ",B4)+1)-FIND(" ",B4)-1)</f>
        <v>О975ВВ761</v>
      </c>
      <c r="K4" s="406" t="s">
        <v>237</v>
      </c>
      <c r="L4" s="406" t="s">
        <v>207</v>
      </c>
      <c r="M4" s="406" t="str">
        <f>H4</f>
        <v>ООО "АгроФлоу X1"</v>
      </c>
      <c r="N4" s="406" t="s">
        <v>227</v>
      </c>
      <c r="O4" s="406" t="s">
        <v>172</v>
      </c>
      <c r="P4" s="406" t="str">
        <f>H4</f>
        <v>ООО "АгроФлоу X1"</v>
      </c>
      <c r="Q4" s="406" t="s">
        <v>173</v>
      </c>
      <c r="R4" s="406" t="str">
        <f>MID(B4,FIND(" ",B4,FIND(" ",B4)+1)+1,LEN(B4)-FIND(" ",B4,FIND(" ",B4)+1))</f>
        <v>СК214461</v>
      </c>
      <c r="S4" s="406" t="s">
        <v>194</v>
      </c>
      <c r="T4" s="406">
        <v>34600</v>
      </c>
      <c r="U4" s="406">
        <v>15220</v>
      </c>
      <c r="V4" s="406">
        <v>19380</v>
      </c>
      <c r="W4" s="406" t="s">
        <v>175</v>
      </c>
      <c r="X4" s="406" t="s">
        <v>197</v>
      </c>
      <c r="Y4" s="406" t="s">
        <v>176</v>
      </c>
      <c r="Z4" s="406" t="s">
        <v>248</v>
      </c>
      <c r="AA4" s="406" t="str">
        <f>LEFT(L4,FIND(" ",L4)-1) &amp; " " &amp;
MID(L4,FIND(" ",L4)+1,1) &amp; "." &amp;
MID(L4,FIND(" ",L4,FIND(" ",L4)+1)+1,1) &amp; "."</f>
        <v>Иванор С.П.</v>
      </c>
      <c r="AB4" s="407" t="s">
        <v>132</v>
      </c>
    </row>
    <row r="5" spans="1:28" s="406" customFormat="1" x14ac:dyDescent="0.35">
      <c r="A5" s="402">
        <v>45915</v>
      </c>
      <c r="B5" s="403" t="s">
        <v>179</v>
      </c>
      <c r="C5" s="404">
        <v>2</v>
      </c>
      <c r="D5" s="405" t="s">
        <v>153</v>
      </c>
      <c r="E5" s="406">
        <f t="shared" ref="E5:E13" si="0">DAY(A5)</f>
        <v>15</v>
      </c>
      <c r="F5" s="406" t="str">
        <f t="shared" ref="F5:F13" si="1">CHOOSE(MONTH(A5),"января","февраля","марта","апреля","мая","июня","июля","августа","сентября","октября","ноября","декабря")</f>
        <v>сентября</v>
      </c>
      <c r="G5" s="406">
        <f t="shared" ref="G5:G13" si="2">MOD(YEAR(A5),100)</f>
        <v>25</v>
      </c>
      <c r="H5" s="406" t="s">
        <v>218</v>
      </c>
      <c r="I5" s="406" t="str">
        <f t="shared" ref="I5:I12" si="3">LEFT(B5,FIND(" ",B5)-1)</f>
        <v>МАЗ</v>
      </c>
      <c r="J5" s="406" t="str">
        <f t="shared" ref="J5:J13" si="4">MID(B5,FIND(" ",B5)+1,FIND(" ",B5,FIND(" ",B5)+1)-FIND(" ",B5)-1)</f>
        <v>А123МР777</v>
      </c>
      <c r="K5" s="406" t="s">
        <v>238</v>
      </c>
      <c r="L5" s="406" t="s">
        <v>208</v>
      </c>
      <c r="M5" s="406" t="str">
        <f t="shared" ref="M5:M13" si="5">H5</f>
        <v>ООО "ЗерноПриём 24A"</v>
      </c>
      <c r="N5" s="406" t="s">
        <v>228</v>
      </c>
      <c r="O5" s="406" t="s">
        <v>172</v>
      </c>
      <c r="P5" s="406" t="str">
        <f t="shared" ref="P5:P13" si="6">H5</f>
        <v>ООО "ЗерноПриём 24A"</v>
      </c>
      <c r="Q5" s="406" t="s">
        <v>173</v>
      </c>
      <c r="R5" s="406" t="s">
        <v>162</v>
      </c>
      <c r="S5" s="406" t="s">
        <v>194</v>
      </c>
      <c r="T5" s="406">
        <v>35120</v>
      </c>
      <c r="U5" s="406">
        <v>14850</v>
      </c>
      <c r="V5" s="406">
        <v>20270</v>
      </c>
      <c r="W5" s="406" t="s">
        <v>175</v>
      </c>
      <c r="X5" s="406" t="s">
        <v>204</v>
      </c>
      <c r="Y5" s="406" t="s">
        <v>176</v>
      </c>
      <c r="Z5" s="406" t="s">
        <v>249</v>
      </c>
      <c r="AA5" s="406" t="str">
        <f t="shared" ref="AA5:AA13" si="7">LEFT(L5,FIND(" ",L5)-1) &amp; " " &amp;
MID(L5,FIND(" ",L5)+1,1) &amp; "." &amp;
MID(L5,FIND(" ",L5,FIND(" ",L5)+1)+1,1) &amp; "."</f>
        <v>Смирев А.Н.</v>
      </c>
      <c r="AB5" s="407" t="s">
        <v>132</v>
      </c>
    </row>
    <row r="6" spans="1:28" s="406" customFormat="1" x14ac:dyDescent="0.35">
      <c r="A6" s="402">
        <v>45915</v>
      </c>
      <c r="B6" s="403" t="s">
        <v>180</v>
      </c>
      <c r="C6" s="404">
        <v>3</v>
      </c>
      <c r="D6" s="405" t="s">
        <v>154</v>
      </c>
      <c r="E6" s="406">
        <f t="shared" si="0"/>
        <v>15</v>
      </c>
      <c r="F6" s="406" t="str">
        <f t="shared" si="1"/>
        <v>сентября</v>
      </c>
      <c r="G6" s="406">
        <f t="shared" si="2"/>
        <v>25</v>
      </c>
      <c r="H6" s="406" t="s">
        <v>219</v>
      </c>
      <c r="I6" s="406" t="str">
        <f t="shared" si="3"/>
        <v>Мерседес</v>
      </c>
      <c r="J6" s="406" t="str">
        <f t="shared" si="4"/>
        <v>М456ЕХ163</v>
      </c>
      <c r="K6" s="406" t="s">
        <v>239</v>
      </c>
      <c r="L6" s="406" t="s">
        <v>209</v>
      </c>
      <c r="M6" s="406" t="str">
        <f t="shared" si="5"/>
        <v>ООО "ГрейнПорт-Х"</v>
      </c>
      <c r="N6" s="406" t="s">
        <v>229</v>
      </c>
      <c r="O6" s="406" t="s">
        <v>172</v>
      </c>
      <c r="P6" s="406" t="str">
        <f t="shared" si="6"/>
        <v>ООО "ГрейнПорт-Х"</v>
      </c>
      <c r="Q6" s="406" t="s">
        <v>173</v>
      </c>
      <c r="R6" s="406" t="s">
        <v>163</v>
      </c>
      <c r="S6" s="406" t="s">
        <v>174</v>
      </c>
      <c r="T6" s="406">
        <v>33890</v>
      </c>
      <c r="U6" s="406">
        <v>15640</v>
      </c>
      <c r="V6" s="406">
        <v>18250</v>
      </c>
      <c r="W6" s="406" t="s">
        <v>175</v>
      </c>
      <c r="X6" s="406" t="s">
        <v>205</v>
      </c>
      <c r="Y6" s="406" t="s">
        <v>176</v>
      </c>
      <c r="Z6" s="406" t="s">
        <v>250</v>
      </c>
      <c r="AA6" s="406" t="str">
        <f t="shared" si="7"/>
        <v>Кузнецын А.В.</v>
      </c>
      <c r="AB6" s="407" t="s">
        <v>132</v>
      </c>
    </row>
    <row r="7" spans="1:28" s="406" customFormat="1" x14ac:dyDescent="0.35">
      <c r="A7" s="402">
        <v>45950</v>
      </c>
      <c r="B7" s="403" t="s">
        <v>181</v>
      </c>
      <c r="C7" s="404">
        <v>4</v>
      </c>
      <c r="D7" s="405" t="s">
        <v>155</v>
      </c>
      <c r="E7" s="406">
        <f t="shared" si="0"/>
        <v>20</v>
      </c>
      <c r="F7" s="406" t="str">
        <f t="shared" si="1"/>
        <v>октября</v>
      </c>
      <c r="G7" s="406">
        <f t="shared" si="2"/>
        <v>25</v>
      </c>
      <c r="H7" s="406" t="s">
        <v>220</v>
      </c>
      <c r="I7" s="406" t="str">
        <f t="shared" si="3"/>
        <v>КАМАЗ</v>
      </c>
      <c r="J7" s="406" t="str">
        <f t="shared" si="4"/>
        <v>Т789АН402</v>
      </c>
      <c r="K7" s="406" t="s">
        <v>240</v>
      </c>
      <c r="L7" s="406" t="s">
        <v>210</v>
      </c>
      <c r="M7" s="406" t="str">
        <f t="shared" si="5"/>
        <v>ООО "АгроЛогистик Z7"</v>
      </c>
      <c r="N7" s="406" t="s">
        <v>230</v>
      </c>
      <c r="O7" s="406" t="s">
        <v>196</v>
      </c>
      <c r="P7" s="406" t="str">
        <f t="shared" si="6"/>
        <v>ООО "АгроЛогистик Z7"</v>
      </c>
      <c r="Q7" s="406" t="s">
        <v>173</v>
      </c>
      <c r="R7" s="406" t="s">
        <v>164</v>
      </c>
      <c r="S7" s="406" t="s">
        <v>193</v>
      </c>
      <c r="T7" s="406">
        <v>35980</v>
      </c>
      <c r="U7" s="406">
        <v>14320</v>
      </c>
      <c r="V7" s="406">
        <v>21660</v>
      </c>
      <c r="W7" s="406" t="s">
        <v>175</v>
      </c>
      <c r="X7" s="406" t="s">
        <v>206</v>
      </c>
      <c r="Y7" s="406" t="s">
        <v>176</v>
      </c>
      <c r="Z7" s="406" t="s">
        <v>251</v>
      </c>
      <c r="AA7" s="406" t="str">
        <f t="shared" si="7"/>
        <v>Попович Д.О.</v>
      </c>
      <c r="AB7" s="407" t="s">
        <v>132</v>
      </c>
    </row>
    <row r="8" spans="1:28" s="406" customFormat="1" x14ac:dyDescent="0.35">
      <c r="A8" s="402">
        <v>45951</v>
      </c>
      <c r="B8" s="403" t="s">
        <v>182</v>
      </c>
      <c r="C8" s="404">
        <v>5</v>
      </c>
      <c r="D8" s="405" t="s">
        <v>156</v>
      </c>
      <c r="E8" s="406">
        <f t="shared" si="0"/>
        <v>21</v>
      </c>
      <c r="F8" s="406" t="str">
        <f t="shared" si="1"/>
        <v>октября</v>
      </c>
      <c r="G8" s="406">
        <f t="shared" si="2"/>
        <v>25</v>
      </c>
      <c r="H8" s="406" t="s">
        <v>221</v>
      </c>
      <c r="I8" s="406" t="str">
        <f t="shared" si="3"/>
        <v>КАМАЗ</v>
      </c>
      <c r="J8" s="406" t="str">
        <f t="shared" si="4"/>
        <v>В321ОО599</v>
      </c>
      <c r="K8" s="406" t="s">
        <v>241</v>
      </c>
      <c r="L8" s="406" t="s">
        <v>198</v>
      </c>
      <c r="M8" s="406" t="str">
        <f t="shared" si="5"/>
        <v>ООО "ЮгЗерноСнаб X2"</v>
      </c>
      <c r="N8" s="406" t="s">
        <v>231</v>
      </c>
      <c r="O8" s="406" t="s">
        <v>196</v>
      </c>
      <c r="P8" s="406" t="str">
        <f t="shared" si="6"/>
        <v>ООО "ЮгЗерноСнаб X2"</v>
      </c>
      <c r="Q8" s="406" t="s">
        <v>173</v>
      </c>
      <c r="R8" s="408" t="s">
        <v>165</v>
      </c>
      <c r="S8" s="406" t="s">
        <v>193</v>
      </c>
      <c r="T8" s="408">
        <v>32750</v>
      </c>
      <c r="U8" s="408">
        <v>15910</v>
      </c>
      <c r="V8" s="406">
        <v>16840</v>
      </c>
      <c r="W8" s="406" t="s">
        <v>175</v>
      </c>
      <c r="X8" s="406" t="s">
        <v>211</v>
      </c>
      <c r="Y8" s="406" t="s">
        <v>176</v>
      </c>
      <c r="Z8" s="406" t="s">
        <v>252</v>
      </c>
      <c r="AA8" s="406" t="str">
        <f t="shared" si="7"/>
        <v>Моргин П.С.</v>
      </c>
      <c r="AB8" s="407" t="s">
        <v>132</v>
      </c>
    </row>
    <row r="9" spans="1:28" s="406" customFormat="1" x14ac:dyDescent="0.35">
      <c r="A9" s="402">
        <v>45952</v>
      </c>
      <c r="B9" s="403" t="s">
        <v>183</v>
      </c>
      <c r="C9" s="404">
        <v>6</v>
      </c>
      <c r="D9" s="405" t="s">
        <v>157</v>
      </c>
      <c r="E9" s="406">
        <f t="shared" si="0"/>
        <v>22</v>
      </c>
      <c r="F9" s="406" t="str">
        <f t="shared" si="1"/>
        <v>октября</v>
      </c>
      <c r="G9" s="406">
        <f t="shared" si="2"/>
        <v>25</v>
      </c>
      <c r="H9" s="406" t="s">
        <v>222</v>
      </c>
      <c r="I9" s="406" t="str">
        <f t="shared" si="3"/>
        <v>МАЗ</v>
      </c>
      <c r="J9" s="406" t="str">
        <f t="shared" si="4"/>
        <v>К654РМ750</v>
      </c>
      <c r="K9" s="406" t="s">
        <v>242</v>
      </c>
      <c r="L9" s="406" t="s">
        <v>199</v>
      </c>
      <c r="M9" s="406" t="str">
        <f t="shared" si="5"/>
        <v>ООО "ПотокАгро Q1"</v>
      </c>
      <c r="N9" s="406" t="s">
        <v>232</v>
      </c>
      <c r="O9" s="406" t="s">
        <v>196</v>
      </c>
      <c r="P9" s="406" t="str">
        <f t="shared" si="6"/>
        <v>ООО "ПотокАгро Q1"</v>
      </c>
      <c r="Q9" s="406" t="s">
        <v>173</v>
      </c>
      <c r="R9" s="406" t="s">
        <v>166</v>
      </c>
      <c r="S9" s="406" t="s">
        <v>174</v>
      </c>
      <c r="T9" s="406">
        <v>34410</v>
      </c>
      <c r="U9" s="406">
        <v>15180</v>
      </c>
      <c r="V9" s="406">
        <v>19230</v>
      </c>
      <c r="W9" s="406" t="s">
        <v>175</v>
      </c>
      <c r="X9" s="406" t="s">
        <v>212</v>
      </c>
      <c r="Y9" s="406" t="s">
        <v>176</v>
      </c>
      <c r="Z9" s="406" t="s">
        <v>253</v>
      </c>
      <c r="AA9" s="406" t="str">
        <f t="shared" si="7"/>
        <v>Калевин Д.И.</v>
      </c>
      <c r="AB9" s="407" t="s">
        <v>132</v>
      </c>
    </row>
    <row r="10" spans="1:28" s="406" customFormat="1" x14ac:dyDescent="0.35">
      <c r="A10" s="402">
        <v>46000</v>
      </c>
      <c r="B10" s="403" t="s">
        <v>184</v>
      </c>
      <c r="C10" s="404">
        <v>7</v>
      </c>
      <c r="D10" s="405" t="s">
        <v>158</v>
      </c>
      <c r="E10" s="406">
        <f t="shared" si="0"/>
        <v>9</v>
      </c>
      <c r="F10" s="406" t="str">
        <f t="shared" si="1"/>
        <v>декабря</v>
      </c>
      <c r="G10" s="406">
        <f t="shared" si="2"/>
        <v>25</v>
      </c>
      <c r="H10" s="406" t="s">
        <v>223</v>
      </c>
      <c r="I10" s="406" t="str">
        <f t="shared" si="3"/>
        <v>Мерседес</v>
      </c>
      <c r="J10" s="406" t="str">
        <f t="shared" si="4"/>
        <v>Н987НН222</v>
      </c>
      <c r="K10" s="406" t="s">
        <v>243</v>
      </c>
      <c r="L10" s="406" t="s">
        <v>200</v>
      </c>
      <c r="M10" s="406" t="str">
        <f t="shared" si="5"/>
        <v>ООО "ТерраГрейн 9X"</v>
      </c>
      <c r="N10" s="406" t="s">
        <v>233</v>
      </c>
      <c r="O10" s="406" t="s">
        <v>172</v>
      </c>
      <c r="P10" s="406" t="str">
        <f t="shared" si="6"/>
        <v>ООО "ТерраГрейн 9X"</v>
      </c>
      <c r="Q10" s="406" t="s">
        <v>173</v>
      </c>
      <c r="R10" s="406" t="s">
        <v>167</v>
      </c>
      <c r="S10" s="406" t="s">
        <v>174</v>
      </c>
      <c r="T10" s="406">
        <v>35560</v>
      </c>
      <c r="U10" s="406">
        <v>14790</v>
      </c>
      <c r="V10" s="406">
        <v>20770</v>
      </c>
      <c r="W10" s="406" t="s">
        <v>175</v>
      </c>
      <c r="X10" s="406" t="s">
        <v>213</v>
      </c>
      <c r="Y10" s="406" t="s">
        <v>176</v>
      </c>
      <c r="Z10" s="406" t="s">
        <v>254</v>
      </c>
      <c r="AA10" s="406" t="str">
        <f t="shared" si="7"/>
        <v>Родевский А.Н.</v>
      </c>
      <c r="AB10" s="407" t="s">
        <v>132</v>
      </c>
    </row>
    <row r="11" spans="1:28" s="406" customFormat="1" x14ac:dyDescent="0.35">
      <c r="A11" s="402">
        <v>46045</v>
      </c>
      <c r="B11" s="403" t="s">
        <v>185</v>
      </c>
      <c r="C11" s="404">
        <v>8</v>
      </c>
      <c r="D11" s="405" t="s">
        <v>159</v>
      </c>
      <c r="E11" s="406">
        <f t="shared" si="0"/>
        <v>23</v>
      </c>
      <c r="F11" s="406" t="str">
        <f t="shared" si="1"/>
        <v>января</v>
      </c>
      <c r="G11" s="406">
        <f t="shared" si="2"/>
        <v>26</v>
      </c>
      <c r="H11" s="406" t="s">
        <v>224</v>
      </c>
      <c r="I11" s="406" t="str">
        <f t="shared" si="3"/>
        <v>Вольво</v>
      </c>
      <c r="J11" s="406" t="str">
        <f t="shared" si="4"/>
        <v>С246ЕТ888</v>
      </c>
      <c r="K11" s="406" t="s">
        <v>244</v>
      </c>
      <c r="L11" s="406" t="s">
        <v>201</v>
      </c>
      <c r="M11" s="406" t="str">
        <f t="shared" si="5"/>
        <v>ООО "ФермаТрейд-Х"</v>
      </c>
      <c r="N11" s="406" t="s">
        <v>234</v>
      </c>
      <c r="O11" s="406" t="s">
        <v>172</v>
      </c>
      <c r="P11" s="406" t="str">
        <f t="shared" si="6"/>
        <v>ООО "ФермаТрейд-Х"</v>
      </c>
      <c r="Q11" s="406" t="s">
        <v>173</v>
      </c>
      <c r="R11" s="406" t="s">
        <v>168</v>
      </c>
      <c r="S11" s="406" t="s">
        <v>195</v>
      </c>
      <c r="T11" s="406">
        <v>33280</v>
      </c>
      <c r="U11" s="406">
        <v>15460</v>
      </c>
      <c r="V11" s="406">
        <v>17820</v>
      </c>
      <c r="W11" s="406" t="s">
        <v>175</v>
      </c>
      <c r="X11" s="406" t="s">
        <v>214</v>
      </c>
      <c r="Y11" s="406" t="s">
        <v>176</v>
      </c>
      <c r="Z11" s="406" t="s">
        <v>255</v>
      </c>
      <c r="AA11" s="406" t="str">
        <f t="shared" si="7"/>
        <v>Семиров А.В.</v>
      </c>
      <c r="AB11" s="407" t="s">
        <v>132</v>
      </c>
    </row>
    <row r="12" spans="1:28" s="406" customFormat="1" x14ac:dyDescent="0.35">
      <c r="A12" s="402">
        <v>46083</v>
      </c>
      <c r="B12" s="403" t="s">
        <v>186</v>
      </c>
      <c r="C12" s="404">
        <v>9</v>
      </c>
      <c r="D12" s="405" t="s">
        <v>160</v>
      </c>
      <c r="E12" s="406">
        <f t="shared" si="0"/>
        <v>2</v>
      </c>
      <c r="F12" s="406" t="str">
        <f t="shared" si="1"/>
        <v>марта</v>
      </c>
      <c r="G12" s="406">
        <f t="shared" si="2"/>
        <v>26</v>
      </c>
      <c r="H12" s="406" t="s">
        <v>225</v>
      </c>
      <c r="I12" s="406" t="str">
        <f t="shared" si="3"/>
        <v>Вольво</v>
      </c>
      <c r="J12" s="406" t="str">
        <f t="shared" si="4"/>
        <v>Р135РТ311</v>
      </c>
      <c r="K12" s="406" t="s">
        <v>245</v>
      </c>
      <c r="L12" s="406" t="s">
        <v>202</v>
      </c>
      <c r="M12" s="406" t="str">
        <f t="shared" si="5"/>
        <v>ООО "ЗерноХаб 17B"</v>
      </c>
      <c r="N12" s="406" t="s">
        <v>235</v>
      </c>
      <c r="O12" s="406" t="s">
        <v>172</v>
      </c>
      <c r="P12" s="406" t="str">
        <f t="shared" si="6"/>
        <v>ООО "ЗерноХаб 17B"</v>
      </c>
      <c r="Q12" s="406" t="s">
        <v>173</v>
      </c>
      <c r="R12" s="406" t="s">
        <v>169</v>
      </c>
      <c r="S12" s="406" t="s">
        <v>195</v>
      </c>
      <c r="T12" s="406">
        <v>34870</v>
      </c>
      <c r="U12" s="406">
        <v>14950</v>
      </c>
      <c r="V12" s="406">
        <v>19920</v>
      </c>
      <c r="W12" s="406" t="s">
        <v>175</v>
      </c>
      <c r="X12" s="406" t="s">
        <v>215</v>
      </c>
      <c r="Y12" s="406" t="s">
        <v>176</v>
      </c>
      <c r="Z12" s="406" t="s">
        <v>256</v>
      </c>
      <c r="AA12" s="406" t="str">
        <f t="shared" si="7"/>
        <v>Горевин М.О.</v>
      </c>
      <c r="AB12" s="407" t="s">
        <v>132</v>
      </c>
    </row>
    <row r="13" spans="1:28" s="406" customFormat="1" ht="15" thickBot="1" x14ac:dyDescent="0.4">
      <c r="A13" s="409">
        <v>46180</v>
      </c>
      <c r="B13" s="410" t="s">
        <v>187</v>
      </c>
      <c r="C13" s="411">
        <v>10</v>
      </c>
      <c r="D13" s="412" t="s">
        <v>161</v>
      </c>
      <c r="E13" s="413">
        <f t="shared" si="0"/>
        <v>7</v>
      </c>
      <c r="F13" s="413" t="str">
        <f t="shared" si="1"/>
        <v>июня</v>
      </c>
      <c r="G13" s="413">
        <f t="shared" si="2"/>
        <v>26</v>
      </c>
      <c r="H13" s="413" t="s">
        <v>226</v>
      </c>
      <c r="I13" s="413" t="str">
        <f>LEFT(B13,FIND(" ",B13)-1)</f>
        <v>КАМАЗ</v>
      </c>
      <c r="J13" s="413" t="str">
        <f t="shared" si="4"/>
        <v>У864УН049</v>
      </c>
      <c r="K13" s="413" t="s">
        <v>246</v>
      </c>
      <c r="L13" s="413" t="s">
        <v>203</v>
      </c>
      <c r="M13" s="413" t="str">
        <f t="shared" si="5"/>
        <v>ООО "АгроСклад V3"</v>
      </c>
      <c r="N13" s="413" t="s">
        <v>236</v>
      </c>
      <c r="O13" s="413" t="s">
        <v>172</v>
      </c>
      <c r="P13" s="413" t="str">
        <f t="shared" si="6"/>
        <v>ООО "АгроСклад V3"</v>
      </c>
      <c r="Q13" s="413" t="s">
        <v>173</v>
      </c>
      <c r="R13" s="413" t="s">
        <v>170</v>
      </c>
      <c r="S13" s="413" t="s">
        <v>174</v>
      </c>
      <c r="T13" s="413">
        <v>36240</v>
      </c>
      <c r="U13" s="413">
        <v>14130</v>
      </c>
      <c r="V13" s="413">
        <v>22110</v>
      </c>
      <c r="W13" s="413" t="s">
        <v>175</v>
      </c>
      <c r="X13" s="413" t="s">
        <v>216</v>
      </c>
      <c r="Y13" s="413" t="s">
        <v>176</v>
      </c>
      <c r="Z13" s="413" t="s">
        <v>257</v>
      </c>
      <c r="AA13" s="413" t="str">
        <f t="shared" si="7"/>
        <v>Даневский К.А.</v>
      </c>
      <c r="AB13" s="414" t="s">
        <v>132</v>
      </c>
    </row>
    <row r="14" spans="1:28" x14ac:dyDescent="0.35">
      <c r="D14" s="35"/>
    </row>
    <row r="15" spans="1:28" x14ac:dyDescent="0.35">
      <c r="D15" s="35"/>
    </row>
    <row r="16" spans="1:28" x14ac:dyDescent="0.35">
      <c r="D16" s="35"/>
    </row>
    <row r="17" spans="4:4" x14ac:dyDescent="0.35">
      <c r="D17" s="35"/>
    </row>
    <row r="18" spans="4:4" x14ac:dyDescent="0.35">
      <c r="D18" s="35"/>
    </row>
    <row r="19" spans="4:4" x14ac:dyDescent="0.35">
      <c r="D19" s="35"/>
    </row>
    <row r="20" spans="4:4" x14ac:dyDescent="0.35">
      <c r="D20" s="35"/>
    </row>
  </sheetData>
  <mergeCells count="2">
    <mergeCell ref="A1:B1"/>
    <mergeCell ref="C1:AB1"/>
  </mergeCells>
  <phoneticPr fontId="10" type="noConversion"/>
  <hyperlinks>
    <hyperlink ref="A2" location="start!A1" display="На главную" xr:uid="{72BD0F25-9BCA-4ACF-8DAC-8374CA9953E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DFCB-3CCB-4813-92E8-CD1F9FBAA968}">
  <sheetPr codeName="Sheet2"/>
  <dimension ref="A1:DE113"/>
  <sheetViews>
    <sheetView view="pageBreakPreview" zoomScale="120" zoomScaleNormal="100" zoomScaleSheetLayoutView="120" workbookViewId="0">
      <selection activeCell="DE2" sqref="DE2"/>
    </sheetView>
  </sheetViews>
  <sheetFormatPr defaultColWidth="0.90625" defaultRowHeight="11.5" x14ac:dyDescent="0.25"/>
  <cols>
    <col min="1" max="108" width="0.90625" style="1"/>
    <col min="109" max="109" width="8.08984375" style="1" customWidth="1"/>
    <col min="110" max="16384" width="0.90625" style="1"/>
  </cols>
  <sheetData>
    <row r="1" spans="2:109" x14ac:dyDescent="0.25">
      <c r="DD1" s="2" t="s">
        <v>0</v>
      </c>
      <c r="DE1" s="8">
        <v>1</v>
      </c>
    </row>
    <row r="2" spans="2:109" ht="14.5" x14ac:dyDescent="0.35">
      <c r="BF2" s="3"/>
      <c r="DE2" s="415" t="s">
        <v>263</v>
      </c>
    </row>
    <row r="3" spans="2:109" ht="15" thickBot="1" x14ac:dyDescent="0.4"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5" t="s">
        <v>1</v>
      </c>
      <c r="BT3" s="53" t="str">
        <f>IFERROR(INDEX(data!C:AB, MATCH($DE$1, data!C:C, 0), data!D2), "")</f>
        <v>9512</v>
      </c>
      <c r="BU3" s="53"/>
      <c r="BV3" s="53"/>
      <c r="BW3" s="53"/>
      <c r="BX3" s="53"/>
      <c r="BY3" s="53"/>
      <c r="BZ3" s="53"/>
      <c r="CA3" s="53"/>
      <c r="CS3" s="54" t="s">
        <v>2</v>
      </c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6"/>
      <c r="DE3" s="415" t="s">
        <v>260</v>
      </c>
    </row>
    <row r="4" spans="2:109" ht="15" customHeight="1" x14ac:dyDescent="0.3">
      <c r="AH4" s="6" t="s">
        <v>3</v>
      </c>
      <c r="AI4" s="57">
        <f>IFERROR(INDEX(data!C:AB, MATCH($DE$1, data!C:C, 0), data!E2), "")</f>
        <v>15</v>
      </c>
      <c r="AJ4" s="57"/>
      <c r="AK4" s="57"/>
      <c r="AL4" s="57"/>
      <c r="AM4" s="36" t="s">
        <v>3</v>
      </c>
      <c r="AN4" s="12"/>
      <c r="AO4" s="57" t="str">
        <f>IFERROR(INDEX(data!C:AB, MATCH($DE$1, data!C:C, 0), data!F2), "")</f>
        <v>сентября</v>
      </c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8">
        <v>20</v>
      </c>
      <c r="BB4" s="58"/>
      <c r="BC4" s="58"/>
      <c r="BD4" s="58"/>
      <c r="BE4" s="59">
        <f>IFERROR(INDEX(data!C:AB, MATCH($DE$1, data!C:C, 0), data!G2), "")</f>
        <v>25</v>
      </c>
      <c r="BF4" s="59"/>
      <c r="BG4" s="59"/>
      <c r="BH4" s="59"/>
      <c r="BI4" s="7" t="s">
        <v>4</v>
      </c>
      <c r="CP4" s="8" t="s">
        <v>5</v>
      </c>
      <c r="CS4" s="60" t="s">
        <v>6</v>
      </c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2"/>
    </row>
    <row r="5" spans="2:109" ht="15" customHeight="1" x14ac:dyDescent="0.25">
      <c r="CP5" s="8" t="s">
        <v>7</v>
      </c>
      <c r="CS5" s="42"/>
      <c r="CT5" s="43"/>
      <c r="CU5" s="43"/>
      <c r="CV5" s="44"/>
      <c r="CW5" s="45"/>
      <c r="CX5" s="43"/>
      <c r="CY5" s="43"/>
      <c r="CZ5" s="44"/>
      <c r="DA5" s="45"/>
      <c r="DB5" s="43"/>
      <c r="DC5" s="43"/>
      <c r="DD5" s="46"/>
    </row>
    <row r="6" spans="2:109" ht="41" customHeight="1" x14ac:dyDescent="0.25">
      <c r="B6" s="1" t="s">
        <v>8</v>
      </c>
      <c r="N6" s="47" t="str">
        <f>IFERROR(INDEX(data!C:AB, MATCH($DE$1, data!C:C, 0), data!H2), "")</f>
        <v>ООО "АгроФлоу X1"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P6" s="8" t="s">
        <v>9</v>
      </c>
      <c r="CS6" s="42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6"/>
    </row>
    <row r="7" spans="2:109" ht="15" customHeight="1" thickBot="1" x14ac:dyDescent="0.3">
      <c r="B7" s="1" t="s">
        <v>10</v>
      </c>
      <c r="S7" s="48" t="str">
        <f>IFERROR(INDEX(data!C:AB, MATCH($DE$1, data!C:C, 0), data!I2), "")</f>
        <v>КАМАЗ</v>
      </c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H7" s="1" t="s">
        <v>11</v>
      </c>
      <c r="BK7" s="49" t="str">
        <f>IFERROR(INDEX(data!C:AB, MATCH($DE$1, data!C:C, 0), data!J2), "")</f>
        <v>О975ВВ761</v>
      </c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CP7" s="8" t="s">
        <v>12</v>
      </c>
      <c r="CS7" s="50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2"/>
    </row>
    <row r="8" spans="2:109" ht="9" customHeight="1" x14ac:dyDescent="0.25">
      <c r="BY8" s="1" t="s">
        <v>13</v>
      </c>
    </row>
    <row r="9" spans="2:109" ht="24.65" customHeight="1" x14ac:dyDescent="0.3">
      <c r="B9" s="1" t="s">
        <v>14</v>
      </c>
      <c r="AJ9" s="74" t="str">
        <f>IFERROR(INDEX(data!C:AB, MATCH($DE$1, data!C:C, 0), data!K2), "")</f>
        <v>ООО "ТрансВектор X1"</v>
      </c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</row>
    <row r="10" spans="2:109" ht="15" customHeight="1" x14ac:dyDescent="0.25">
      <c r="AJ10" s="64" t="s">
        <v>15</v>
      </c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</row>
    <row r="11" spans="2:109" x14ac:dyDescent="0.25">
      <c r="B11" s="1" t="s">
        <v>16</v>
      </c>
      <c r="K11" s="75" t="str">
        <f>IFERROR(INDEX(data!C:AB, MATCH($DE$1, data!C:C, 0), data!L2), "")</f>
        <v>Иванор Сергей Петрович</v>
      </c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BC11" s="76" t="s">
        <v>17</v>
      </c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</row>
    <row r="12" spans="2:109" ht="17.25" customHeight="1" x14ac:dyDescent="0.25">
      <c r="B12" s="1" t="s">
        <v>18</v>
      </c>
      <c r="K12" s="64" t="s">
        <v>19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9"/>
      <c r="BA12" s="10"/>
      <c r="BC12" s="64" t="s">
        <v>20</v>
      </c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</row>
    <row r="13" spans="2:109" ht="42" customHeight="1" x14ac:dyDescent="0.25">
      <c r="B13" s="1" t="s">
        <v>21</v>
      </c>
      <c r="O13" s="63" t="str">
        <f>IFERROR(INDEX(data!C:AB, MATCH($DE$1, data!C:C, 0), data!M2), "")</f>
        <v>ООО "АгроФлоу X1"</v>
      </c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</row>
    <row r="14" spans="2:109" ht="12.75" customHeight="1" x14ac:dyDescent="0.25">
      <c r="O14" s="64" t="s">
        <v>15</v>
      </c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</row>
    <row r="15" spans="2:109" x14ac:dyDescent="0.25">
      <c r="B15" s="1" t="s">
        <v>22</v>
      </c>
    </row>
    <row r="16" spans="2:109" ht="45" customHeight="1" x14ac:dyDescent="0.25">
      <c r="B16" s="1" t="s">
        <v>23</v>
      </c>
      <c r="L16" s="65" t="str">
        <f>IFERROR(INDEX(data!C:AB, MATCH($DE$1, data!C:C, 0), data!N2), "")</f>
        <v>ООО "АгроЭкспорт X9"</v>
      </c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</row>
    <row r="17" spans="2:104" ht="17.25" customHeight="1" thickBot="1" x14ac:dyDescent="0.3">
      <c r="B17" s="1" t="s">
        <v>24</v>
      </c>
      <c r="L17" s="64" t="s">
        <v>15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</row>
    <row r="18" spans="2:104" ht="23.25" customHeight="1" x14ac:dyDescent="0.25">
      <c r="B18" s="1" t="s">
        <v>25</v>
      </c>
      <c r="L18" s="65" t="str">
        <f>IFERROR(INDEX(data!C:AB, MATCH($DE$1, data!C:C, 0), data!O2), "")</f>
        <v>Краснодарский край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U18" s="66" t="s">
        <v>26</v>
      </c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L18" s="68"/>
      <c r="CM18" s="69"/>
      <c r="CN18" s="69"/>
      <c r="CO18" s="69"/>
      <c r="CP18" s="70"/>
      <c r="CQ18" s="95"/>
      <c r="CR18" s="69"/>
      <c r="CS18" s="69"/>
      <c r="CT18" s="69"/>
      <c r="CU18" s="70"/>
      <c r="CV18" s="95"/>
      <c r="CW18" s="69"/>
      <c r="CX18" s="69"/>
      <c r="CY18" s="69"/>
      <c r="CZ18" s="97"/>
    </row>
    <row r="19" spans="2:104" ht="12" thickBot="1" x14ac:dyDescent="0.3">
      <c r="L19" s="64" t="s">
        <v>27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L19" s="71"/>
      <c r="CM19" s="72"/>
      <c r="CN19" s="72"/>
      <c r="CO19" s="72"/>
      <c r="CP19" s="73"/>
      <c r="CQ19" s="96"/>
      <c r="CR19" s="72"/>
      <c r="CS19" s="72"/>
      <c r="CT19" s="72"/>
      <c r="CU19" s="73"/>
      <c r="CV19" s="96"/>
      <c r="CW19" s="72"/>
      <c r="CX19" s="72"/>
      <c r="CY19" s="72"/>
      <c r="CZ19" s="98"/>
    </row>
    <row r="20" spans="2:104" ht="9" customHeight="1" x14ac:dyDescent="0.25"/>
    <row r="21" spans="2:104" ht="51.65" customHeight="1" x14ac:dyDescent="0.25">
      <c r="B21" s="1" t="s">
        <v>28</v>
      </c>
      <c r="R21" s="65" t="str">
        <f>IFERROR(INDEX(data!C:AB, MATCH($DE$1, data!C:C, 0), data!P2), "")</f>
        <v>ООО "АгроФлоу X1"</v>
      </c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</row>
    <row r="22" spans="2:104" ht="12.75" customHeight="1" thickBot="1" x14ac:dyDescent="0.3">
      <c r="R22" s="64" t="s">
        <v>15</v>
      </c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</row>
    <row r="23" spans="2:104" x14ac:dyDescent="0.25">
      <c r="B23" s="1" t="s">
        <v>24</v>
      </c>
      <c r="L23" s="99" t="str">
        <f>IFERROR(INDEX(data!C:AB, MATCH($DE$1, data!C:C, 0), data!Q2), "")</f>
        <v>Ростовская обл.</v>
      </c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L23" s="12"/>
      <c r="CM23" s="12"/>
      <c r="CN23" s="12"/>
      <c r="CO23" s="12"/>
      <c r="CP23" s="12"/>
      <c r="CQ23" s="68"/>
      <c r="CR23" s="69"/>
      <c r="CS23" s="69"/>
      <c r="CT23" s="69"/>
      <c r="CU23" s="69"/>
      <c r="CV23" s="69"/>
      <c r="CW23" s="69"/>
      <c r="CX23" s="69"/>
      <c r="CY23" s="69"/>
      <c r="CZ23" s="97"/>
    </row>
    <row r="24" spans="2:104" ht="12" customHeight="1" x14ac:dyDescent="0.25">
      <c r="B24" s="1" t="s">
        <v>29</v>
      </c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L24" s="12"/>
      <c r="CM24" s="12"/>
      <c r="CN24" s="13" t="s">
        <v>30</v>
      </c>
      <c r="CO24" s="12"/>
      <c r="CP24" s="12"/>
      <c r="CQ24" s="79"/>
      <c r="CR24" s="80"/>
      <c r="CS24" s="80"/>
      <c r="CT24" s="80"/>
      <c r="CU24" s="80"/>
      <c r="CV24" s="80"/>
      <c r="CW24" s="80"/>
      <c r="CX24" s="80"/>
      <c r="CY24" s="80"/>
      <c r="CZ24" s="81"/>
    </row>
    <row r="25" spans="2:104" ht="9" customHeight="1" x14ac:dyDescent="0.25">
      <c r="L25" s="64" t="s">
        <v>27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L25" s="12"/>
      <c r="CM25" s="12"/>
      <c r="CN25" s="12"/>
      <c r="CO25" s="12"/>
      <c r="CP25" s="12"/>
      <c r="CQ25" s="82"/>
      <c r="CR25" s="83"/>
      <c r="CS25" s="83"/>
      <c r="CT25" s="83"/>
      <c r="CU25" s="83"/>
      <c r="CV25" s="83"/>
      <c r="CW25" s="83"/>
      <c r="CX25" s="83"/>
      <c r="CY25" s="83"/>
      <c r="CZ25" s="84"/>
    </row>
    <row r="26" spans="2:104" ht="9" customHeight="1" x14ac:dyDescent="0.25">
      <c r="CL26" s="12"/>
      <c r="CM26" s="12"/>
      <c r="CN26" s="12"/>
      <c r="CO26" s="12"/>
      <c r="CP26" s="12"/>
      <c r="CQ26" s="77"/>
      <c r="CR26" s="55"/>
      <c r="CS26" s="55"/>
      <c r="CT26" s="55"/>
      <c r="CU26" s="55"/>
      <c r="CV26" s="55"/>
      <c r="CW26" s="55"/>
      <c r="CX26" s="55"/>
      <c r="CY26" s="55"/>
      <c r="CZ26" s="78"/>
    </row>
    <row r="27" spans="2:104" x14ac:dyDescent="0.25">
      <c r="M27" s="1" t="s">
        <v>31</v>
      </c>
      <c r="AY27" s="75" t="str">
        <f>IFERROR(INDEX(data!C:AB, MATCH($DE$1, data!C:C, 0), data!R2), "")</f>
        <v>СК214461</v>
      </c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CL27" s="12"/>
      <c r="CM27" s="12"/>
      <c r="CN27" s="13" t="s">
        <v>32</v>
      </c>
      <c r="CO27" s="12"/>
      <c r="CP27" s="12"/>
      <c r="CQ27" s="79"/>
      <c r="CR27" s="80"/>
      <c r="CS27" s="80"/>
      <c r="CT27" s="80"/>
      <c r="CU27" s="80"/>
      <c r="CV27" s="80"/>
      <c r="CW27" s="80"/>
      <c r="CX27" s="80"/>
      <c r="CY27" s="80"/>
      <c r="CZ27" s="81"/>
    </row>
    <row r="28" spans="2:104" ht="12" thickBot="1" x14ac:dyDescent="0.3">
      <c r="CL28" s="15"/>
      <c r="CM28" s="15"/>
      <c r="CN28" s="15"/>
      <c r="CO28" s="15"/>
      <c r="CP28" s="16"/>
      <c r="CQ28" s="82"/>
      <c r="CR28" s="83"/>
      <c r="CS28" s="83"/>
      <c r="CT28" s="83"/>
      <c r="CU28" s="83"/>
      <c r="CV28" s="83"/>
      <c r="CW28" s="83"/>
      <c r="CX28" s="83"/>
      <c r="CY28" s="83"/>
      <c r="CZ28" s="84"/>
    </row>
    <row r="29" spans="2:104" x14ac:dyDescent="0.25">
      <c r="M29" s="1" t="s">
        <v>33</v>
      </c>
      <c r="AG29" s="85" t="s">
        <v>34</v>
      </c>
      <c r="AH29" s="86"/>
      <c r="AI29" s="86"/>
      <c r="AJ29" s="86"/>
      <c r="AK29" s="86"/>
      <c r="AL29" s="86"/>
      <c r="AM29" s="86"/>
      <c r="AN29" s="86"/>
      <c r="AO29" s="87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9"/>
      <c r="CA29" s="85" t="s">
        <v>35</v>
      </c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93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94"/>
    </row>
    <row r="30" spans="2:104" ht="12" thickBot="1" x14ac:dyDescent="0.3">
      <c r="AG30" s="86"/>
      <c r="AH30" s="86"/>
      <c r="AI30" s="86"/>
      <c r="AJ30" s="86"/>
      <c r="AK30" s="86"/>
      <c r="AL30" s="86"/>
      <c r="AM30" s="86"/>
      <c r="AN30" s="86"/>
      <c r="AO30" s="90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2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93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94"/>
    </row>
    <row r="31" spans="2:104" ht="9" customHeight="1" thickBot="1" x14ac:dyDescent="0.3"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90"/>
      <c r="CM31" s="91"/>
      <c r="CN31" s="91"/>
      <c r="CO31" s="91"/>
      <c r="CP31" s="91"/>
      <c r="CQ31" s="91"/>
      <c r="CR31" s="91"/>
      <c r="CS31" s="91"/>
      <c r="CT31" s="91"/>
      <c r="CU31" s="91"/>
      <c r="CV31" s="91"/>
      <c r="CW31" s="91"/>
      <c r="CX31" s="91"/>
      <c r="CY31" s="91"/>
      <c r="CZ31" s="92"/>
    </row>
    <row r="32" spans="2:104" ht="9" customHeight="1" x14ac:dyDescent="0.25"/>
    <row r="33" spans="1:104" x14ac:dyDescent="0.25">
      <c r="B33" s="1" t="s">
        <v>36</v>
      </c>
      <c r="M33" s="75" t="str">
        <f>IFERROR(INDEX(data!C:AB, MATCH($DE$1, data!C:C, 0), data!S2), "")</f>
        <v>пшеница 3 класса</v>
      </c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</row>
    <row r="34" spans="1:104" ht="24" customHeight="1" x14ac:dyDescent="0.25">
      <c r="M34" s="64" t="s">
        <v>37</v>
      </c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</row>
    <row r="35" spans="1:104" x14ac:dyDescent="0.25">
      <c r="B35" s="1" t="s">
        <v>38</v>
      </c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I35" s="1" t="s">
        <v>39</v>
      </c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1" t="s">
        <v>40</v>
      </c>
      <c r="BT35" s="1" t="s">
        <v>41</v>
      </c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1" t="s">
        <v>40</v>
      </c>
    </row>
    <row r="36" spans="1:104" ht="9" customHeight="1" thickBot="1" x14ac:dyDescent="0.3"/>
    <row r="37" spans="1:104" ht="12.9" customHeight="1" thickTop="1" x14ac:dyDescent="0.25">
      <c r="A37" s="103" t="s">
        <v>42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5"/>
      <c r="U37" s="109" t="s">
        <v>43</v>
      </c>
      <c r="V37" s="110"/>
      <c r="W37" s="110"/>
      <c r="X37" s="110"/>
      <c r="Y37" s="110"/>
      <c r="Z37" s="110"/>
      <c r="AA37" s="111"/>
      <c r="AB37" s="117" t="s">
        <v>44</v>
      </c>
      <c r="AC37" s="117"/>
      <c r="AD37" s="117"/>
      <c r="AE37" s="117"/>
      <c r="AF37" s="117"/>
      <c r="AG37" s="117"/>
      <c r="AH37" s="117"/>
      <c r="AI37" s="117"/>
      <c r="AJ37" s="117"/>
      <c r="AK37" s="117" t="s">
        <v>45</v>
      </c>
      <c r="AL37" s="117"/>
      <c r="AM37" s="117"/>
      <c r="AN37" s="117"/>
      <c r="AO37" s="117"/>
      <c r="AP37" s="117"/>
      <c r="AQ37" s="117"/>
      <c r="AR37" s="117"/>
      <c r="AS37" s="120" t="s">
        <v>46</v>
      </c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2"/>
      <c r="BT37" s="123" t="s">
        <v>47</v>
      </c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 t="s">
        <v>48</v>
      </c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</row>
    <row r="38" spans="1:104" ht="12.9" customHeight="1" x14ac:dyDescent="0.25">
      <c r="A38" s="106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8"/>
      <c r="U38" s="112"/>
      <c r="V38" s="66"/>
      <c r="W38" s="66"/>
      <c r="X38" s="66"/>
      <c r="Y38" s="66"/>
      <c r="Z38" s="66"/>
      <c r="AA38" s="113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26" t="s">
        <v>49</v>
      </c>
      <c r="AT38" s="127"/>
      <c r="AU38" s="127"/>
      <c r="AV38" s="127"/>
      <c r="AW38" s="127"/>
      <c r="AX38" s="127"/>
      <c r="AY38" s="127"/>
      <c r="AZ38" s="127"/>
      <c r="BA38" s="128"/>
      <c r="BB38" s="132" t="s">
        <v>50</v>
      </c>
      <c r="BC38" s="127"/>
      <c r="BD38" s="127"/>
      <c r="BE38" s="127"/>
      <c r="BF38" s="127"/>
      <c r="BG38" s="127"/>
      <c r="BH38" s="127"/>
      <c r="BI38" s="127"/>
      <c r="BJ38" s="128"/>
      <c r="BK38" s="132" t="s">
        <v>51</v>
      </c>
      <c r="BL38" s="127"/>
      <c r="BM38" s="127"/>
      <c r="BN38" s="127"/>
      <c r="BO38" s="127"/>
      <c r="BP38" s="127"/>
      <c r="BQ38" s="127"/>
      <c r="BR38" s="127"/>
      <c r="BS38" s="13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</row>
    <row r="39" spans="1:104" ht="12.9" customHeight="1" x14ac:dyDescent="0.25">
      <c r="A39" s="106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14"/>
      <c r="V39" s="115"/>
      <c r="W39" s="115"/>
      <c r="X39" s="115"/>
      <c r="Y39" s="115"/>
      <c r="Z39" s="115"/>
      <c r="AA39" s="116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29"/>
      <c r="AT39" s="130"/>
      <c r="AU39" s="130"/>
      <c r="AV39" s="130"/>
      <c r="AW39" s="130"/>
      <c r="AX39" s="130"/>
      <c r="AY39" s="130"/>
      <c r="AZ39" s="130"/>
      <c r="BA39" s="131"/>
      <c r="BB39" s="133"/>
      <c r="BC39" s="130"/>
      <c r="BD39" s="130"/>
      <c r="BE39" s="130"/>
      <c r="BF39" s="130"/>
      <c r="BG39" s="130"/>
      <c r="BH39" s="130"/>
      <c r="BI39" s="130"/>
      <c r="BJ39" s="131"/>
      <c r="BK39" s="133"/>
      <c r="BL39" s="130"/>
      <c r="BM39" s="130"/>
      <c r="BN39" s="130"/>
      <c r="BO39" s="130"/>
      <c r="BP39" s="130"/>
      <c r="BQ39" s="130"/>
      <c r="BR39" s="130"/>
      <c r="BS39" s="13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5"/>
      <c r="CN39" s="125"/>
      <c r="CO39" s="125"/>
      <c r="CP39" s="125"/>
      <c r="CQ39" s="125"/>
      <c r="CR39" s="125"/>
      <c r="CS39" s="125"/>
      <c r="CT39" s="125"/>
      <c r="CU39" s="125"/>
      <c r="CV39" s="125"/>
      <c r="CW39" s="125"/>
      <c r="CX39" s="125"/>
      <c r="CY39" s="125"/>
      <c r="CZ39" s="125"/>
    </row>
    <row r="40" spans="1:104" ht="12" thickBot="1" x14ac:dyDescent="0.3">
      <c r="A40" s="136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8"/>
      <c r="U40" s="139">
        <v>1</v>
      </c>
      <c r="V40" s="140"/>
      <c r="W40" s="140"/>
      <c r="X40" s="140"/>
      <c r="Y40" s="140"/>
      <c r="Z40" s="140"/>
      <c r="AA40" s="141"/>
      <c r="AB40" s="142">
        <v>2</v>
      </c>
      <c r="AC40" s="142"/>
      <c r="AD40" s="142"/>
      <c r="AE40" s="142"/>
      <c r="AF40" s="142"/>
      <c r="AG40" s="142"/>
      <c r="AH40" s="142"/>
      <c r="AI40" s="142"/>
      <c r="AJ40" s="142"/>
      <c r="AK40" s="142">
        <v>3</v>
      </c>
      <c r="AL40" s="142"/>
      <c r="AM40" s="142"/>
      <c r="AN40" s="142"/>
      <c r="AO40" s="142"/>
      <c r="AP40" s="142"/>
      <c r="AQ40" s="142"/>
      <c r="AR40" s="142"/>
      <c r="AS40" s="143">
        <v>4</v>
      </c>
      <c r="AT40" s="144"/>
      <c r="AU40" s="144"/>
      <c r="AV40" s="144"/>
      <c r="AW40" s="144"/>
      <c r="AX40" s="144"/>
      <c r="AY40" s="144"/>
      <c r="AZ40" s="144"/>
      <c r="BA40" s="144"/>
      <c r="BB40" s="144">
        <v>5</v>
      </c>
      <c r="BC40" s="144"/>
      <c r="BD40" s="144"/>
      <c r="BE40" s="144"/>
      <c r="BF40" s="144"/>
      <c r="BG40" s="144"/>
      <c r="BH40" s="144"/>
      <c r="BI40" s="144"/>
      <c r="BJ40" s="144"/>
      <c r="BK40" s="144">
        <v>6</v>
      </c>
      <c r="BL40" s="144"/>
      <c r="BM40" s="144"/>
      <c r="BN40" s="144"/>
      <c r="BO40" s="144"/>
      <c r="BP40" s="144"/>
      <c r="BQ40" s="144"/>
      <c r="BR40" s="144"/>
      <c r="BS40" s="145"/>
      <c r="BT40" s="142">
        <v>7</v>
      </c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>
        <v>8</v>
      </c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</row>
    <row r="41" spans="1:104" ht="15" customHeight="1" thickTop="1" thickBot="1" x14ac:dyDescent="0.3">
      <c r="A41" s="146"/>
      <c r="B41" s="147"/>
      <c r="C41" s="147"/>
      <c r="D41" s="147"/>
      <c r="E41" s="147"/>
      <c r="F41" s="150" t="s">
        <v>52</v>
      </c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1"/>
      <c r="U41" s="60" t="s">
        <v>53</v>
      </c>
      <c r="V41" s="61"/>
      <c r="W41" s="61"/>
      <c r="X41" s="61"/>
      <c r="Y41" s="61"/>
      <c r="Z41" s="61"/>
      <c r="AA41" s="152"/>
      <c r="AB41" s="153">
        <v>1</v>
      </c>
      <c r="AC41" s="154"/>
      <c r="AD41" s="154"/>
      <c r="AE41" s="154"/>
      <c r="AF41" s="154"/>
      <c r="AG41" s="154"/>
      <c r="AH41" s="154"/>
      <c r="AI41" s="154"/>
      <c r="AJ41" s="155"/>
      <c r="AK41" s="156"/>
      <c r="AL41" s="157"/>
      <c r="AM41" s="157"/>
      <c r="AN41" s="157"/>
      <c r="AO41" s="157"/>
      <c r="AP41" s="157"/>
      <c r="AQ41" s="157"/>
      <c r="AR41" s="158"/>
      <c r="AS41" s="159">
        <f>IFERROR(INDEX(data!C:AB, MATCH($DE$1, data!C:C, 0), data!T2), "")</f>
        <v>34600</v>
      </c>
      <c r="AT41" s="160"/>
      <c r="AU41" s="160"/>
      <c r="AV41" s="160"/>
      <c r="AW41" s="160"/>
      <c r="AX41" s="160"/>
      <c r="AY41" s="160"/>
      <c r="AZ41" s="160"/>
      <c r="BA41" s="160"/>
      <c r="BB41" s="160">
        <f>IFERROR(INDEX(data!C:AB, MATCH($DE$1, data!C:C, 0), data!U2), "")</f>
        <v>15220</v>
      </c>
      <c r="BC41" s="160"/>
      <c r="BD41" s="160"/>
      <c r="BE41" s="160"/>
      <c r="BF41" s="160"/>
      <c r="BG41" s="160"/>
      <c r="BH41" s="160"/>
      <c r="BI41" s="160"/>
      <c r="BJ41" s="160"/>
      <c r="BK41" s="159">
        <f>IFERROR(INDEX(data!C:AB, MATCH($DE$1, data!C:C, 0), data!V2), "")</f>
        <v>19380</v>
      </c>
      <c r="BL41" s="160"/>
      <c r="BM41" s="160"/>
      <c r="BN41" s="160"/>
      <c r="BO41" s="160"/>
      <c r="BP41" s="160"/>
      <c r="BQ41" s="160"/>
      <c r="BR41" s="160"/>
      <c r="BS41" s="160"/>
      <c r="BT41" s="153"/>
      <c r="BU41" s="154"/>
      <c r="BV41" s="154"/>
      <c r="BW41" s="154"/>
      <c r="BX41" s="154"/>
      <c r="BY41" s="154"/>
      <c r="BZ41" s="154"/>
      <c r="CA41" s="154"/>
      <c r="CB41" s="154"/>
      <c r="CC41" s="154"/>
      <c r="CD41" s="154"/>
      <c r="CE41" s="154"/>
      <c r="CF41" s="154"/>
      <c r="CG41" s="154"/>
      <c r="CH41" s="154"/>
      <c r="CI41" s="161"/>
      <c r="CJ41" s="162"/>
      <c r="CK41" s="154"/>
      <c r="CL41" s="154"/>
      <c r="CM41" s="154"/>
      <c r="CN41" s="154"/>
      <c r="CO41" s="154"/>
      <c r="CP41" s="154"/>
      <c r="CQ41" s="154"/>
      <c r="CR41" s="154"/>
      <c r="CS41" s="154"/>
      <c r="CT41" s="154"/>
      <c r="CU41" s="154"/>
      <c r="CV41" s="154"/>
      <c r="CW41" s="154"/>
      <c r="CX41" s="154"/>
      <c r="CY41" s="154"/>
      <c r="CZ41" s="161"/>
    </row>
    <row r="42" spans="1:104" ht="15" customHeight="1" thickBot="1" x14ac:dyDescent="0.3">
      <c r="A42" s="148"/>
      <c r="B42" s="149"/>
      <c r="C42" s="149"/>
      <c r="D42" s="149"/>
      <c r="E42" s="149"/>
      <c r="F42" s="163" t="s">
        <v>54</v>
      </c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4"/>
      <c r="U42" s="60" t="s">
        <v>53</v>
      </c>
      <c r="V42" s="61"/>
      <c r="W42" s="61"/>
      <c r="X42" s="61"/>
      <c r="Y42" s="61"/>
      <c r="Z42" s="61"/>
      <c r="AA42" s="152"/>
      <c r="AB42" s="153">
        <v>1</v>
      </c>
      <c r="AC42" s="154"/>
      <c r="AD42" s="154"/>
      <c r="AE42" s="154"/>
      <c r="AF42" s="154"/>
      <c r="AG42" s="154"/>
      <c r="AH42" s="154"/>
      <c r="AI42" s="154"/>
      <c r="AJ42" s="155"/>
      <c r="AK42" s="165" t="s">
        <v>55</v>
      </c>
      <c r="AL42" s="166"/>
      <c r="AM42" s="166"/>
      <c r="AN42" s="166"/>
      <c r="AO42" s="166"/>
      <c r="AP42" s="166"/>
      <c r="AQ42" s="166"/>
      <c r="AR42" s="167"/>
      <c r="AS42" s="131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31"/>
      <c r="BL42" s="168"/>
      <c r="BM42" s="168"/>
      <c r="BN42" s="168"/>
      <c r="BO42" s="168"/>
      <c r="BP42" s="168"/>
      <c r="BQ42" s="168"/>
      <c r="BR42" s="168"/>
      <c r="BS42" s="168"/>
      <c r="BT42" s="170"/>
      <c r="BU42" s="171"/>
      <c r="BV42" s="171"/>
      <c r="BW42" s="171"/>
      <c r="BX42" s="171"/>
      <c r="BY42" s="171"/>
      <c r="BZ42" s="171"/>
      <c r="CA42" s="171"/>
      <c r="CB42" s="171"/>
      <c r="CC42" s="171"/>
      <c r="CD42" s="171"/>
      <c r="CE42" s="171"/>
      <c r="CF42" s="171"/>
      <c r="CG42" s="171"/>
      <c r="CH42" s="171"/>
      <c r="CI42" s="172"/>
      <c r="CJ42" s="173"/>
      <c r="CK42" s="171"/>
      <c r="CL42" s="171"/>
      <c r="CM42" s="171"/>
      <c r="CN42" s="171"/>
      <c r="CO42" s="171"/>
      <c r="CP42" s="171"/>
      <c r="CQ42" s="171"/>
      <c r="CR42" s="171"/>
      <c r="CS42" s="171"/>
      <c r="CT42" s="171"/>
      <c r="CU42" s="171"/>
      <c r="CV42" s="171"/>
      <c r="CW42" s="171"/>
      <c r="CX42" s="171"/>
      <c r="CY42" s="171"/>
      <c r="CZ42" s="172"/>
    </row>
    <row r="43" spans="1:104" ht="12" customHeight="1" thickTop="1" thickBot="1" x14ac:dyDescent="0.3">
      <c r="A43" s="17"/>
      <c r="B43" s="17"/>
      <c r="C43" s="17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4"/>
      <c r="V43" s="14"/>
      <c r="W43" s="14"/>
      <c r="X43" s="14"/>
      <c r="Y43" s="14"/>
      <c r="Z43" s="14"/>
      <c r="AA43" s="14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</row>
    <row r="44" spans="1:104" ht="12" customHeight="1" thickTop="1" x14ac:dyDescent="0.25">
      <c r="U44" s="174" t="s">
        <v>56</v>
      </c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6"/>
      <c r="AI44" s="175" t="s">
        <v>57</v>
      </c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2" t="s">
        <v>58</v>
      </c>
      <c r="AY44" s="180"/>
      <c r="AZ44" s="180"/>
      <c r="BA44" s="180"/>
      <c r="BB44" s="180"/>
      <c r="BC44" s="180"/>
      <c r="BD44" s="180"/>
      <c r="BE44" s="180"/>
      <c r="BF44" s="183"/>
      <c r="BG44" s="174" t="s">
        <v>59</v>
      </c>
      <c r="BH44" s="175"/>
      <c r="BI44" s="175"/>
      <c r="BJ44" s="175"/>
      <c r="BK44" s="175"/>
      <c r="BL44" s="175"/>
      <c r="BM44" s="175"/>
      <c r="BN44" s="175"/>
      <c r="BO44" s="175"/>
      <c r="BP44" s="175"/>
      <c r="BQ44" s="176"/>
      <c r="BR44" s="174" t="s">
        <v>60</v>
      </c>
      <c r="BS44" s="180"/>
      <c r="BT44" s="180"/>
      <c r="BU44" s="180"/>
      <c r="BV44" s="180"/>
      <c r="BW44" s="180"/>
      <c r="BX44" s="180"/>
      <c r="BY44" s="180"/>
      <c r="BZ44" s="180"/>
      <c r="CA44" s="180"/>
      <c r="CB44" s="183"/>
      <c r="CC44" s="182" t="s">
        <v>61</v>
      </c>
      <c r="CD44" s="180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80"/>
      <c r="CT44" s="180"/>
      <c r="CU44" s="180"/>
      <c r="CV44" s="180"/>
      <c r="CW44" s="180"/>
      <c r="CX44" s="180"/>
      <c r="CY44" s="180"/>
      <c r="CZ44" s="183"/>
    </row>
    <row r="45" spans="1:104" x14ac:dyDescent="0.25">
      <c r="U45" s="177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9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184"/>
      <c r="AY45" s="181"/>
      <c r="AZ45" s="181"/>
      <c r="BA45" s="181"/>
      <c r="BB45" s="181"/>
      <c r="BC45" s="181"/>
      <c r="BD45" s="181"/>
      <c r="BE45" s="181"/>
      <c r="BF45" s="185"/>
      <c r="BG45" s="177"/>
      <c r="BH45" s="178"/>
      <c r="BI45" s="178"/>
      <c r="BJ45" s="178"/>
      <c r="BK45" s="178"/>
      <c r="BL45" s="178"/>
      <c r="BM45" s="178"/>
      <c r="BN45" s="178"/>
      <c r="BO45" s="178"/>
      <c r="BP45" s="178"/>
      <c r="BQ45" s="179"/>
      <c r="BR45" s="184"/>
      <c r="BS45" s="181"/>
      <c r="BT45" s="181"/>
      <c r="BU45" s="181"/>
      <c r="BV45" s="181"/>
      <c r="BW45" s="181"/>
      <c r="BX45" s="181"/>
      <c r="BY45" s="181"/>
      <c r="BZ45" s="181"/>
      <c r="CA45" s="181"/>
      <c r="CB45" s="185"/>
      <c r="CC45" s="184"/>
      <c r="CD45" s="181"/>
      <c r="CE45" s="181"/>
      <c r="CF45" s="181"/>
      <c r="CG45" s="181"/>
      <c r="CH45" s="181"/>
      <c r="CI45" s="181"/>
      <c r="CJ45" s="181"/>
      <c r="CK45" s="181"/>
      <c r="CL45" s="181"/>
      <c r="CM45" s="181"/>
      <c r="CN45" s="181"/>
      <c r="CO45" s="181"/>
      <c r="CP45" s="181"/>
      <c r="CQ45" s="181"/>
      <c r="CR45" s="181"/>
      <c r="CS45" s="181"/>
      <c r="CT45" s="181"/>
      <c r="CU45" s="181"/>
      <c r="CV45" s="181"/>
      <c r="CW45" s="181"/>
      <c r="CX45" s="181"/>
      <c r="CY45" s="181"/>
      <c r="CZ45" s="185"/>
    </row>
    <row r="46" spans="1:104" ht="12" thickBot="1" x14ac:dyDescent="0.3">
      <c r="U46" s="139">
        <v>9</v>
      </c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1"/>
      <c r="AI46" s="143">
        <v>10</v>
      </c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69"/>
      <c r="AX46" s="143">
        <v>11</v>
      </c>
      <c r="AY46" s="144"/>
      <c r="AZ46" s="144"/>
      <c r="BA46" s="144"/>
      <c r="BB46" s="144"/>
      <c r="BC46" s="144"/>
      <c r="BD46" s="144"/>
      <c r="BE46" s="144"/>
      <c r="BF46" s="145"/>
      <c r="BG46" s="143">
        <v>12</v>
      </c>
      <c r="BH46" s="144"/>
      <c r="BI46" s="144"/>
      <c r="BJ46" s="144"/>
      <c r="BK46" s="144"/>
      <c r="BL46" s="144"/>
      <c r="BM46" s="144"/>
      <c r="BN46" s="144"/>
      <c r="BO46" s="144"/>
      <c r="BP46" s="144"/>
      <c r="BQ46" s="145"/>
      <c r="BR46" s="143">
        <v>13</v>
      </c>
      <c r="BS46" s="144"/>
      <c r="BT46" s="144"/>
      <c r="BU46" s="144"/>
      <c r="BV46" s="144"/>
      <c r="BW46" s="144"/>
      <c r="BX46" s="144"/>
      <c r="BY46" s="144"/>
      <c r="BZ46" s="144"/>
      <c r="CA46" s="144"/>
      <c r="CB46" s="145"/>
      <c r="CC46" s="143">
        <v>14</v>
      </c>
      <c r="CD46" s="144"/>
      <c r="CE46" s="144"/>
      <c r="CF46" s="144"/>
      <c r="CG46" s="144"/>
      <c r="CH46" s="144"/>
      <c r="CI46" s="144"/>
      <c r="CJ46" s="144"/>
      <c r="CK46" s="144"/>
      <c r="CL46" s="144"/>
      <c r="CM46" s="144"/>
      <c r="CN46" s="144"/>
      <c r="CO46" s="144"/>
      <c r="CP46" s="144"/>
      <c r="CQ46" s="144"/>
      <c r="CR46" s="144"/>
      <c r="CS46" s="144"/>
      <c r="CT46" s="144"/>
      <c r="CU46" s="144"/>
      <c r="CV46" s="144"/>
      <c r="CW46" s="144"/>
      <c r="CX46" s="144"/>
      <c r="CY46" s="144"/>
      <c r="CZ46" s="145"/>
    </row>
    <row r="47" spans="1:104" ht="15" customHeight="1" thickBot="1" x14ac:dyDescent="0.3">
      <c r="B47" s="1" t="s">
        <v>62</v>
      </c>
      <c r="U47" s="193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5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196"/>
      <c r="AU47" s="196"/>
      <c r="AV47" s="196"/>
      <c r="AW47" s="196"/>
      <c r="AX47" s="196"/>
      <c r="AY47" s="196"/>
      <c r="AZ47" s="196"/>
      <c r="BA47" s="196"/>
      <c r="BB47" s="196"/>
      <c r="BC47" s="196"/>
      <c r="BD47" s="196"/>
      <c r="BE47" s="196"/>
      <c r="BF47" s="196"/>
      <c r="BG47" s="196"/>
      <c r="BH47" s="196"/>
      <c r="BI47" s="196"/>
      <c r="BJ47" s="196"/>
      <c r="BK47" s="196"/>
      <c r="BL47" s="196"/>
      <c r="BM47" s="196"/>
      <c r="BN47" s="196"/>
      <c r="BO47" s="196"/>
      <c r="BP47" s="196"/>
      <c r="BQ47" s="196"/>
      <c r="BR47" s="196"/>
      <c r="BS47" s="196"/>
      <c r="BT47" s="196"/>
      <c r="BU47" s="196"/>
      <c r="BV47" s="196"/>
      <c r="BW47" s="196"/>
      <c r="BX47" s="196"/>
      <c r="BY47" s="196"/>
      <c r="BZ47" s="196"/>
      <c r="CA47" s="196"/>
      <c r="CB47" s="196"/>
      <c r="CC47" s="196"/>
      <c r="CD47" s="196"/>
      <c r="CE47" s="196"/>
      <c r="CF47" s="196"/>
      <c r="CG47" s="196"/>
      <c r="CH47" s="196"/>
      <c r="CI47" s="196"/>
      <c r="CJ47" s="196"/>
      <c r="CK47" s="196"/>
      <c r="CL47" s="196"/>
      <c r="CM47" s="196"/>
      <c r="CN47" s="196"/>
      <c r="CO47" s="196"/>
      <c r="CP47" s="196"/>
      <c r="CQ47" s="196"/>
      <c r="CR47" s="196"/>
      <c r="CS47" s="196"/>
      <c r="CT47" s="196"/>
      <c r="CU47" s="196"/>
      <c r="CV47" s="196"/>
      <c r="CW47" s="196"/>
      <c r="CX47" s="196"/>
      <c r="CY47" s="196"/>
      <c r="CZ47" s="197"/>
    </row>
    <row r="48" spans="1:104" ht="12" thickBot="1" x14ac:dyDescent="0.3"/>
    <row r="49" spans="2:108" ht="12" customHeight="1" x14ac:dyDescent="0.25">
      <c r="B49" s="1" t="s">
        <v>63</v>
      </c>
      <c r="BY49" s="66" t="s">
        <v>34</v>
      </c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199"/>
      <c r="CK49" s="200"/>
      <c r="CL49" s="200"/>
      <c r="CM49" s="200"/>
      <c r="CN49" s="200"/>
      <c r="CO49" s="200"/>
      <c r="CP49" s="200"/>
      <c r="CQ49" s="200"/>
      <c r="CR49" s="200"/>
      <c r="CS49" s="200"/>
      <c r="CT49" s="200"/>
      <c r="CU49" s="200"/>
      <c r="CV49" s="200"/>
      <c r="CW49" s="200"/>
      <c r="CX49" s="200"/>
      <c r="CY49" s="200"/>
      <c r="CZ49" s="201"/>
    </row>
    <row r="50" spans="2:108" ht="12" customHeight="1" x14ac:dyDescent="0.25">
      <c r="B50" s="186" t="s">
        <v>64</v>
      </c>
      <c r="C50" s="186"/>
      <c r="D50" s="186"/>
      <c r="E50" s="186"/>
      <c r="F50" s="186"/>
      <c r="G50" s="186"/>
      <c r="H50" s="186"/>
      <c r="I50" s="17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187"/>
      <c r="CK50" s="188"/>
      <c r="CL50" s="188"/>
      <c r="CM50" s="188"/>
      <c r="CN50" s="188"/>
      <c r="CO50" s="188"/>
      <c r="CP50" s="188"/>
      <c r="CQ50" s="188"/>
      <c r="CR50" s="188"/>
      <c r="CS50" s="188"/>
      <c r="CT50" s="188"/>
      <c r="CU50" s="188"/>
      <c r="CV50" s="188"/>
      <c r="CW50" s="188"/>
      <c r="CX50" s="188"/>
      <c r="CY50" s="188"/>
      <c r="CZ50" s="189"/>
    </row>
    <row r="51" spans="2:108" ht="9" customHeight="1" x14ac:dyDescent="0.25">
      <c r="J51" s="64" t="s">
        <v>65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187"/>
      <c r="CK51" s="188"/>
      <c r="CL51" s="188"/>
      <c r="CM51" s="188"/>
      <c r="CN51" s="188"/>
      <c r="CO51" s="188"/>
      <c r="CP51" s="188"/>
      <c r="CQ51" s="188"/>
      <c r="CR51" s="188"/>
      <c r="CS51" s="188"/>
      <c r="CT51" s="188"/>
      <c r="CU51" s="188"/>
      <c r="CV51" s="188"/>
      <c r="CW51" s="188"/>
      <c r="CX51" s="188"/>
      <c r="CY51" s="188"/>
      <c r="CZ51" s="189"/>
    </row>
    <row r="52" spans="2:108" ht="12" customHeight="1" x14ac:dyDescent="0.25">
      <c r="BY52" s="66" t="s">
        <v>35</v>
      </c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187"/>
      <c r="CK52" s="188"/>
      <c r="CL52" s="188"/>
      <c r="CM52" s="188"/>
      <c r="CN52" s="188"/>
      <c r="CO52" s="188"/>
      <c r="CP52" s="188"/>
      <c r="CQ52" s="188"/>
      <c r="CR52" s="188"/>
      <c r="CS52" s="188"/>
      <c r="CT52" s="188"/>
      <c r="CU52" s="188"/>
      <c r="CV52" s="188"/>
      <c r="CW52" s="188"/>
      <c r="CX52" s="188"/>
      <c r="CY52" s="188"/>
      <c r="CZ52" s="189"/>
    </row>
    <row r="53" spans="2:108" ht="12" customHeight="1" x14ac:dyDescent="0.25"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186" t="s">
        <v>66</v>
      </c>
      <c r="AY53" s="186"/>
      <c r="AZ53" s="186"/>
      <c r="BA53" s="186"/>
      <c r="BB53" s="186"/>
      <c r="BC53" s="186"/>
      <c r="BD53" s="186"/>
      <c r="BE53" s="186"/>
      <c r="BF53" s="18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198" t="s">
        <v>67</v>
      </c>
      <c r="BS53" s="198"/>
      <c r="BT53" s="198"/>
      <c r="BU53" s="198"/>
      <c r="BV53" s="198"/>
      <c r="BW53" s="198"/>
      <c r="BX53" s="198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187"/>
      <c r="CK53" s="188"/>
      <c r="CL53" s="188"/>
      <c r="CM53" s="188"/>
      <c r="CN53" s="188"/>
      <c r="CO53" s="188"/>
      <c r="CP53" s="188"/>
      <c r="CQ53" s="188"/>
      <c r="CR53" s="188"/>
      <c r="CS53" s="188"/>
      <c r="CT53" s="188"/>
      <c r="CU53" s="188"/>
      <c r="CV53" s="188"/>
      <c r="CW53" s="188"/>
      <c r="CX53" s="188"/>
      <c r="CY53" s="188"/>
      <c r="CZ53" s="189"/>
    </row>
    <row r="54" spans="2:108" ht="9" customHeight="1" thickBot="1" x14ac:dyDescent="0.3"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190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2"/>
    </row>
    <row r="55" spans="2:108" ht="15" customHeight="1" x14ac:dyDescent="0.25">
      <c r="B55" s="1" t="s">
        <v>68</v>
      </c>
      <c r="S55" s="75" t="str">
        <f>IFERROR(INDEX(data!C:AB, MATCH($DE$1, data!C:C, 0), data!W2), "")</f>
        <v>директор</v>
      </c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CA55" s="75" t="str">
        <f>IFERROR(INDEX(data!C:AB, MATCH($DE$1, data!C:C, 0), data!X2), "")</f>
        <v>Таргин Алексей Викторович</v>
      </c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</row>
    <row r="56" spans="2:108" s="19" customFormat="1" ht="15" customHeight="1" x14ac:dyDescent="0.2">
      <c r="S56" s="64" t="s">
        <v>69</v>
      </c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10"/>
      <c r="AY56" s="10"/>
      <c r="AZ56" s="64" t="s">
        <v>70</v>
      </c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10"/>
      <c r="BZ56" s="10"/>
      <c r="CA56" s="64" t="s">
        <v>71</v>
      </c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</row>
    <row r="57" spans="2:108" x14ac:dyDescent="0.25">
      <c r="B57" s="1" t="s">
        <v>72</v>
      </c>
      <c r="AL57" s="76" t="s">
        <v>53</v>
      </c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1" t="s">
        <v>73</v>
      </c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</row>
    <row r="58" spans="2:108" s="19" customFormat="1" ht="15" customHeight="1" x14ac:dyDescent="0.2">
      <c r="AL58" s="64" t="s">
        <v>65</v>
      </c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64" t="s">
        <v>65</v>
      </c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</row>
    <row r="59" spans="2:108" ht="24" customHeight="1" x14ac:dyDescent="0.25">
      <c r="B59" s="20" t="s">
        <v>74</v>
      </c>
      <c r="G59" s="17"/>
      <c r="H59" s="65" t="str">
        <f>IFERROR(INDEX(data!C:AB, MATCH($DE$1, data!C:C, 0), data!Y2), "")</f>
        <v>кладовщик</v>
      </c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J59" s="75" t="str">
        <f>IFERROR(INDEX(data!C:AB, MATCH($DE$1, data!C:C, 0), data!Z2), "")</f>
        <v>Сидорина М.А.</v>
      </c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BA59" s="20" t="s">
        <v>75</v>
      </c>
      <c r="BI59" s="76" t="s">
        <v>76</v>
      </c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K59" s="75" t="str">
        <f>IFERROR(INDEX(data!C:AB, MATCH($DE$1, data!C:C, 0), data!AA2), "")</f>
        <v>Иванор С.П.</v>
      </c>
      <c r="CL59" s="75"/>
      <c r="CM59" s="75"/>
      <c r="CN59" s="75"/>
      <c r="CO59" s="75"/>
      <c r="CP59" s="75"/>
      <c r="CQ59" s="75"/>
      <c r="CR59" s="75"/>
      <c r="CS59" s="75"/>
      <c r="CT59" s="75"/>
      <c r="CU59" s="75"/>
      <c r="CV59" s="75"/>
      <c r="CW59" s="75"/>
      <c r="CX59" s="75"/>
      <c r="CY59" s="75"/>
      <c r="CZ59" s="75"/>
    </row>
    <row r="60" spans="2:108" s="19" customFormat="1" ht="15" customHeight="1" x14ac:dyDescent="0.2">
      <c r="H60" s="64" t="s">
        <v>69</v>
      </c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10"/>
      <c r="V60" s="10"/>
      <c r="W60" s="64" t="s">
        <v>70</v>
      </c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10"/>
      <c r="AI60" s="10"/>
      <c r="AJ60" s="64" t="s">
        <v>71</v>
      </c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10"/>
      <c r="BA60" s="10"/>
      <c r="BB60" s="10"/>
      <c r="BC60" s="10"/>
      <c r="BD60" s="10"/>
      <c r="BE60" s="10"/>
      <c r="BF60" s="10"/>
      <c r="BG60" s="10"/>
      <c r="BH60" s="10"/>
      <c r="BI60" s="64" t="s">
        <v>69</v>
      </c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10"/>
      <c r="BW60" s="10"/>
      <c r="BX60" s="64" t="s">
        <v>70</v>
      </c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10"/>
      <c r="CJ60" s="10"/>
      <c r="CK60" s="64" t="s">
        <v>71</v>
      </c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</row>
    <row r="61" spans="2:108" x14ac:dyDescent="0.25">
      <c r="B61" s="1" t="s">
        <v>77</v>
      </c>
      <c r="N61" s="75" t="str">
        <f>IFERROR(INDEX(data!C:AB, MATCH($DE$1, data!C:C, 0), data!AB2), "")</f>
        <v>Декларация соответствия</v>
      </c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186" t="s">
        <v>78</v>
      </c>
      <c r="BY61" s="186"/>
      <c r="BZ61" s="186"/>
      <c r="CA61" s="186"/>
      <c r="CB61" s="186"/>
      <c r="CC61" s="18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Z61" s="8" t="s">
        <v>79</v>
      </c>
    </row>
    <row r="62" spans="2:108" x14ac:dyDescent="0.25">
      <c r="N62" s="64" t="s">
        <v>80</v>
      </c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</row>
    <row r="63" spans="2:108" s="21" customFormat="1" x14ac:dyDescent="0.25">
      <c r="DD63" s="22" t="s">
        <v>81</v>
      </c>
    </row>
    <row r="64" spans="2:108" s="21" customFormat="1" x14ac:dyDescent="0.25">
      <c r="DD64" s="22"/>
    </row>
    <row r="65" spans="1:108" s="21" customFormat="1" ht="12" customHeight="1" x14ac:dyDescent="0.25">
      <c r="A65" s="21" t="s">
        <v>82</v>
      </c>
      <c r="BF65" s="204" t="s">
        <v>83</v>
      </c>
      <c r="BG65" s="204"/>
      <c r="BH65" s="204"/>
      <c r="BI65" s="204"/>
      <c r="BJ65" s="204"/>
      <c r="BK65" s="204"/>
      <c r="BL65" s="204"/>
      <c r="BM65" s="204"/>
      <c r="BN65" s="204"/>
      <c r="BO65" s="204"/>
      <c r="BP65" s="204"/>
      <c r="BQ65" s="204"/>
      <c r="BR65" s="204"/>
      <c r="BS65" s="204"/>
      <c r="BT65" s="204"/>
      <c r="BU65" s="204"/>
      <c r="BV65" s="204"/>
      <c r="BW65" s="204"/>
    </row>
    <row r="66" spans="1:108" s="21" customFormat="1" x14ac:dyDescent="0.25">
      <c r="A66" s="21" t="s">
        <v>84</v>
      </c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  <c r="BP66" s="204"/>
      <c r="BQ66" s="204"/>
      <c r="BR66" s="204"/>
      <c r="BS66" s="204"/>
      <c r="BT66" s="204"/>
      <c r="BU66" s="204"/>
      <c r="BV66" s="204"/>
      <c r="BW66" s="204"/>
      <c r="BX66" s="205"/>
      <c r="BY66" s="205"/>
      <c r="BZ66" s="205"/>
      <c r="CA66" s="205"/>
      <c r="CB66" s="205"/>
      <c r="CC66" s="205"/>
      <c r="CD66" s="205"/>
      <c r="CE66" s="205"/>
      <c r="CF66" s="205"/>
      <c r="CG66" s="205"/>
      <c r="CH66" s="205"/>
      <c r="CI66" s="205"/>
      <c r="CJ66" s="205"/>
      <c r="CK66" s="205"/>
      <c r="CL66" s="205"/>
      <c r="CM66" s="205"/>
      <c r="CN66" s="205"/>
      <c r="CO66" s="205"/>
      <c r="CP66" s="205"/>
      <c r="CQ66" s="205"/>
      <c r="CR66" s="205"/>
      <c r="CS66" s="205"/>
      <c r="CT66" s="205"/>
      <c r="CU66" s="205"/>
      <c r="CV66" s="205"/>
      <c r="CW66" s="205"/>
      <c r="CX66" s="205"/>
      <c r="CY66" s="205"/>
      <c r="CZ66" s="205"/>
      <c r="DA66" s="205"/>
      <c r="DB66" s="205"/>
      <c r="DC66" s="205"/>
      <c r="DD66" s="205"/>
    </row>
    <row r="67" spans="1:108" s="21" customFormat="1" ht="18" customHeight="1" x14ac:dyDescent="0.25">
      <c r="A67" s="21" t="s">
        <v>75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202"/>
      <c r="BA67" s="202"/>
      <c r="BB67" s="202"/>
      <c r="BC67" s="202"/>
      <c r="BD67" s="202"/>
      <c r="BE67" s="202"/>
      <c r="BF67" s="202"/>
      <c r="BG67" s="202"/>
      <c r="BH67" s="202"/>
      <c r="BI67" s="202"/>
      <c r="BJ67" s="202"/>
      <c r="BK67" s="202"/>
      <c r="BL67" s="203" t="s">
        <v>85</v>
      </c>
      <c r="BM67" s="203"/>
      <c r="BN67" s="203"/>
      <c r="BO67" s="203"/>
      <c r="BP67" s="203"/>
      <c r="BQ67" s="203"/>
      <c r="BR67" s="203"/>
      <c r="BS67" s="203"/>
      <c r="BT67" s="203"/>
      <c r="BU67" s="203"/>
      <c r="BV67" s="203"/>
      <c r="BW67" s="203"/>
      <c r="BX67" s="202"/>
      <c r="BY67" s="202"/>
      <c r="BZ67" s="202"/>
      <c r="CA67" s="202"/>
      <c r="CB67" s="202"/>
      <c r="CC67" s="202"/>
      <c r="CD67" s="202"/>
      <c r="CE67" s="202"/>
      <c r="CF67" s="202"/>
      <c r="CG67" s="202"/>
      <c r="CJ67" s="202"/>
      <c r="CK67" s="202"/>
      <c r="CL67" s="202"/>
      <c r="CM67" s="202"/>
      <c r="CN67" s="202"/>
      <c r="CO67" s="202"/>
      <c r="CP67" s="202"/>
      <c r="CQ67" s="202"/>
      <c r="CR67" s="202"/>
      <c r="CS67" s="202"/>
      <c r="CT67" s="202"/>
      <c r="CU67" s="202"/>
      <c r="CV67" s="202"/>
      <c r="CW67" s="202"/>
      <c r="CX67" s="202"/>
      <c r="CY67" s="202"/>
      <c r="CZ67" s="202"/>
      <c r="DA67" s="202"/>
      <c r="DB67" s="202"/>
      <c r="DC67" s="202"/>
      <c r="DD67" s="202"/>
    </row>
    <row r="68" spans="1:108" s="23" customFormat="1" ht="18" customHeight="1" x14ac:dyDescent="0.2">
      <c r="I68" s="206" t="s">
        <v>69</v>
      </c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6"/>
      <c r="AB68" s="206"/>
      <c r="AC68" s="24"/>
      <c r="AD68" s="24"/>
      <c r="AE68" s="206" t="s">
        <v>70</v>
      </c>
      <c r="AF68" s="206"/>
      <c r="AG68" s="206"/>
      <c r="AH68" s="206"/>
      <c r="AI68" s="206"/>
      <c r="AJ68" s="206"/>
      <c r="AK68" s="206"/>
      <c r="AL68" s="206"/>
      <c r="AM68" s="206"/>
      <c r="AN68" s="206"/>
      <c r="AO68" s="24"/>
      <c r="AP68" s="24"/>
      <c r="AQ68" s="206" t="s">
        <v>71</v>
      </c>
      <c r="AR68" s="206"/>
      <c r="AS68" s="206"/>
      <c r="AT68" s="206"/>
      <c r="AU68" s="206"/>
      <c r="AV68" s="206"/>
      <c r="AW68" s="206"/>
      <c r="AX68" s="206"/>
      <c r="AY68" s="206"/>
      <c r="AZ68" s="206"/>
      <c r="BA68" s="206"/>
      <c r="BB68" s="206"/>
      <c r="BC68" s="206"/>
      <c r="BD68" s="206"/>
      <c r="BE68" s="206"/>
      <c r="BF68" s="206"/>
      <c r="BG68" s="206"/>
      <c r="BH68" s="206"/>
      <c r="BI68" s="206"/>
      <c r="BJ68" s="206"/>
      <c r="BK68" s="206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06" t="s">
        <v>70</v>
      </c>
      <c r="BY68" s="206"/>
      <c r="BZ68" s="206"/>
      <c r="CA68" s="206"/>
      <c r="CB68" s="206"/>
      <c r="CC68" s="206"/>
      <c r="CD68" s="206"/>
      <c r="CE68" s="206"/>
      <c r="CF68" s="206"/>
      <c r="CG68" s="206"/>
      <c r="CH68" s="24"/>
      <c r="CI68" s="24"/>
      <c r="CJ68" s="206" t="s">
        <v>71</v>
      </c>
      <c r="CK68" s="206"/>
      <c r="CL68" s="206"/>
      <c r="CM68" s="206"/>
      <c r="CN68" s="206"/>
      <c r="CO68" s="206"/>
      <c r="CP68" s="206"/>
      <c r="CQ68" s="206"/>
      <c r="CR68" s="206"/>
      <c r="CS68" s="206"/>
      <c r="CT68" s="206"/>
      <c r="CU68" s="206"/>
      <c r="CV68" s="206"/>
      <c r="CW68" s="206"/>
      <c r="CX68" s="206"/>
      <c r="CY68" s="206"/>
      <c r="CZ68" s="206"/>
      <c r="DA68" s="206"/>
      <c r="DB68" s="206"/>
      <c r="DC68" s="206"/>
      <c r="DD68" s="206"/>
    </row>
    <row r="69" spans="1:108" s="21" customFormat="1" x14ac:dyDescent="0.25">
      <c r="A69" s="207" t="s">
        <v>86</v>
      </c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Q69" s="204" t="s">
        <v>87</v>
      </c>
      <c r="R69" s="208"/>
      <c r="S69" s="208"/>
      <c r="T69" s="208"/>
      <c r="U69" s="208"/>
      <c r="V69" s="208"/>
      <c r="W69" s="208"/>
      <c r="X69" s="208"/>
      <c r="BM69" s="204" t="s">
        <v>88</v>
      </c>
      <c r="BN69" s="208"/>
      <c r="BO69" s="208"/>
      <c r="BP69" s="208"/>
      <c r="BQ69" s="208"/>
      <c r="BR69" s="208"/>
      <c r="BS69" s="208"/>
      <c r="BT69" s="208"/>
    </row>
    <row r="70" spans="1:108" s="21" customFormat="1" x14ac:dyDescent="0.25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Q70" s="208"/>
      <c r="R70" s="208"/>
      <c r="S70" s="208"/>
      <c r="T70" s="208"/>
      <c r="U70" s="208"/>
      <c r="V70" s="208"/>
      <c r="W70" s="208"/>
      <c r="X70" s="208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2"/>
      <c r="AV70" s="202"/>
      <c r="AW70" s="202"/>
      <c r="AX70" s="202"/>
      <c r="AY70" s="202"/>
      <c r="AZ70" s="202"/>
      <c r="BA70" s="202"/>
      <c r="BB70" s="202"/>
      <c r="BC70" s="202"/>
      <c r="BD70" s="202"/>
      <c r="BE70" s="202"/>
      <c r="BF70" s="202"/>
      <c r="BG70" s="202"/>
      <c r="BH70" s="202"/>
      <c r="BM70" s="208"/>
      <c r="BN70" s="208"/>
      <c r="BO70" s="208"/>
      <c r="BP70" s="208"/>
      <c r="BQ70" s="208"/>
      <c r="BR70" s="208"/>
      <c r="BS70" s="208"/>
      <c r="BT70" s="208"/>
      <c r="BU70" s="202"/>
      <c r="BV70" s="202"/>
      <c r="BW70" s="202"/>
      <c r="BX70" s="202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  <c r="CJ70" s="202"/>
      <c r="CK70" s="202"/>
      <c r="CL70" s="202"/>
      <c r="CM70" s="202"/>
      <c r="CN70" s="202"/>
      <c r="CO70" s="202"/>
      <c r="CP70" s="202"/>
      <c r="CQ70" s="202"/>
      <c r="CR70" s="202"/>
      <c r="CS70" s="202"/>
      <c r="CT70" s="202"/>
      <c r="CU70" s="202"/>
      <c r="CV70" s="202"/>
      <c r="CW70" s="202"/>
      <c r="CX70" s="202"/>
      <c r="CY70" s="202"/>
      <c r="CZ70" s="202"/>
      <c r="DA70" s="202"/>
      <c r="DB70" s="202"/>
      <c r="DC70" s="202"/>
      <c r="DD70" s="202"/>
    </row>
    <row r="71" spans="1:108" s="21" customFormat="1" ht="24" customHeight="1" x14ac:dyDescent="0.3">
      <c r="A71" s="220" t="s">
        <v>89</v>
      </c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220"/>
      <c r="BF71" s="220"/>
      <c r="BG71" s="220"/>
      <c r="BH71" s="220"/>
      <c r="BI71" s="220"/>
      <c r="BJ71" s="220"/>
      <c r="BK71" s="220"/>
      <c r="BL71" s="220"/>
      <c r="BM71" s="220"/>
      <c r="BN71" s="220"/>
      <c r="BO71" s="220"/>
      <c r="BP71" s="220"/>
      <c r="BQ71" s="220"/>
      <c r="BR71" s="220"/>
      <c r="BS71" s="220"/>
      <c r="BT71" s="220"/>
      <c r="BU71" s="220"/>
      <c r="BV71" s="220"/>
      <c r="BW71" s="220"/>
      <c r="BX71" s="220"/>
      <c r="BY71" s="220"/>
      <c r="BZ71" s="220"/>
      <c r="CA71" s="220"/>
      <c r="CB71" s="220"/>
      <c r="CC71" s="220"/>
      <c r="CD71" s="220"/>
      <c r="CE71" s="220"/>
      <c r="CF71" s="220"/>
      <c r="CG71" s="220"/>
      <c r="CH71" s="220"/>
      <c r="CI71" s="220"/>
      <c r="CJ71" s="220"/>
      <c r="CK71" s="220"/>
      <c r="CL71" s="220"/>
      <c r="CM71" s="220"/>
      <c r="CN71" s="220"/>
      <c r="CO71" s="220"/>
      <c r="CP71" s="220"/>
      <c r="CQ71" s="220"/>
      <c r="CR71" s="220"/>
      <c r="CS71" s="220"/>
      <c r="CT71" s="220"/>
      <c r="CU71" s="220"/>
      <c r="CV71" s="220"/>
      <c r="CW71" s="220"/>
      <c r="CX71" s="220"/>
      <c r="CY71" s="220"/>
      <c r="CZ71" s="220"/>
      <c r="DA71" s="220"/>
      <c r="DB71" s="220"/>
      <c r="DC71" s="220"/>
      <c r="DD71" s="220"/>
    </row>
    <row r="72" spans="1:108" s="21" customFormat="1" ht="9.75" customHeight="1" thickBot="1" x14ac:dyDescent="0.3"/>
    <row r="73" spans="1:108" s="21" customFormat="1" ht="12" thickTop="1" x14ac:dyDescent="0.25">
      <c r="A73" s="221" t="s">
        <v>42</v>
      </c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3"/>
      <c r="O73" s="230" t="s">
        <v>90</v>
      </c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2"/>
      <c r="AI73" s="239" t="s">
        <v>91</v>
      </c>
      <c r="AJ73" s="222"/>
      <c r="AK73" s="222"/>
      <c r="AL73" s="222"/>
      <c r="AM73" s="222"/>
      <c r="AN73" s="222"/>
      <c r="AO73" s="222"/>
      <c r="AP73" s="222"/>
      <c r="AQ73" s="222"/>
      <c r="AR73" s="222"/>
      <c r="AS73" s="222"/>
      <c r="AT73" s="222"/>
      <c r="AU73" s="222"/>
      <c r="AV73" s="222"/>
      <c r="AW73" s="222"/>
      <c r="AX73" s="222"/>
      <c r="AY73" s="222"/>
      <c r="AZ73" s="222"/>
      <c r="BA73" s="222"/>
      <c r="BB73" s="223"/>
      <c r="BC73" s="240" t="s">
        <v>92</v>
      </c>
      <c r="BD73" s="241"/>
      <c r="BE73" s="241"/>
      <c r="BF73" s="241"/>
      <c r="BG73" s="241"/>
      <c r="BH73" s="241"/>
      <c r="BI73" s="241"/>
      <c r="BJ73" s="241"/>
      <c r="BK73" s="241"/>
      <c r="BL73" s="241"/>
      <c r="BM73" s="241"/>
      <c r="BN73" s="241"/>
      <c r="BO73" s="241"/>
      <c r="BP73" s="241"/>
      <c r="BQ73" s="241"/>
      <c r="BR73" s="241"/>
      <c r="BS73" s="241"/>
      <c r="BT73" s="241"/>
      <c r="BU73" s="241"/>
      <c r="BV73" s="241"/>
      <c r="BW73" s="241"/>
      <c r="BX73" s="241"/>
      <c r="BY73" s="241"/>
      <c r="BZ73" s="241"/>
      <c r="CA73" s="241"/>
      <c r="CB73" s="241"/>
      <c r="CC73" s="241"/>
      <c r="CD73" s="241"/>
      <c r="CE73" s="241"/>
      <c r="CF73" s="241"/>
      <c r="CG73" s="241"/>
      <c r="CH73" s="241"/>
      <c r="CI73" s="241"/>
      <c r="CJ73" s="241"/>
      <c r="CK73" s="241"/>
      <c r="CL73" s="241"/>
      <c r="CM73" s="241"/>
      <c r="CN73" s="241"/>
      <c r="CO73" s="241"/>
      <c r="CP73" s="241"/>
      <c r="CQ73" s="241"/>
      <c r="CR73" s="241"/>
      <c r="CS73" s="241"/>
      <c r="CT73" s="241"/>
      <c r="CU73" s="241"/>
      <c r="CV73" s="241"/>
      <c r="CW73" s="241"/>
      <c r="CX73" s="241"/>
      <c r="CY73" s="241"/>
      <c r="CZ73" s="241"/>
      <c r="DA73" s="241"/>
      <c r="DB73" s="241"/>
      <c r="DC73" s="241"/>
      <c r="DD73" s="242"/>
    </row>
    <row r="74" spans="1:108" s="21" customFormat="1" x14ac:dyDescent="0.25">
      <c r="A74" s="224"/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6"/>
      <c r="O74" s="233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5"/>
      <c r="AI74" s="224"/>
      <c r="AJ74" s="225"/>
      <c r="AK74" s="225"/>
      <c r="AL74" s="225"/>
      <c r="AM74" s="225"/>
      <c r="AN74" s="225"/>
      <c r="AO74" s="225"/>
      <c r="AP74" s="225"/>
      <c r="AQ74" s="225"/>
      <c r="AR74" s="225"/>
      <c r="AS74" s="225"/>
      <c r="AT74" s="225"/>
      <c r="AU74" s="225"/>
      <c r="AV74" s="225"/>
      <c r="AW74" s="225"/>
      <c r="AX74" s="225"/>
      <c r="AY74" s="225"/>
      <c r="AZ74" s="225"/>
      <c r="BA74" s="225"/>
      <c r="BB74" s="226"/>
      <c r="BC74" s="243" t="s">
        <v>93</v>
      </c>
      <c r="BD74" s="244"/>
      <c r="BE74" s="244"/>
      <c r="BF74" s="244"/>
      <c r="BG74" s="244"/>
      <c r="BH74" s="244"/>
      <c r="BI74" s="244"/>
      <c r="BJ74" s="244"/>
      <c r="BK74" s="244"/>
      <c r="BL74" s="244"/>
      <c r="BM74" s="244"/>
      <c r="BN74" s="244"/>
      <c r="BO74" s="244"/>
      <c r="BP74" s="244"/>
      <c r="BQ74" s="244"/>
      <c r="BR74" s="244"/>
      <c r="BS74" s="244"/>
      <c r="BT74" s="245"/>
      <c r="BU74" s="247" t="s">
        <v>94</v>
      </c>
      <c r="BV74" s="244"/>
      <c r="BW74" s="244"/>
      <c r="BX74" s="244"/>
      <c r="BY74" s="244"/>
      <c r="BZ74" s="244"/>
      <c r="CA74" s="244"/>
      <c r="CB74" s="244"/>
      <c r="CC74" s="244"/>
      <c r="CD74" s="244"/>
      <c r="CE74" s="244"/>
      <c r="CF74" s="244"/>
      <c r="CG74" s="244"/>
      <c r="CH74" s="244"/>
      <c r="CI74" s="244"/>
      <c r="CJ74" s="244"/>
      <c r="CK74" s="244"/>
      <c r="CL74" s="245"/>
      <c r="CM74" s="247" t="s">
        <v>95</v>
      </c>
      <c r="CN74" s="244"/>
      <c r="CO74" s="244"/>
      <c r="CP74" s="244"/>
      <c r="CQ74" s="244"/>
      <c r="CR74" s="244"/>
      <c r="CS74" s="244"/>
      <c r="CT74" s="244"/>
      <c r="CU74" s="244"/>
      <c r="CV74" s="244"/>
      <c r="CW74" s="244"/>
      <c r="CX74" s="244"/>
      <c r="CY74" s="244"/>
      <c r="CZ74" s="244"/>
      <c r="DA74" s="244"/>
      <c r="DB74" s="244"/>
      <c r="DC74" s="244"/>
      <c r="DD74" s="249"/>
    </row>
    <row r="75" spans="1:108" s="21" customFormat="1" x14ac:dyDescent="0.25">
      <c r="A75" s="227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9"/>
      <c r="O75" s="236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8"/>
      <c r="AI75" s="227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A75" s="228"/>
      <c r="BB75" s="229"/>
      <c r="BC75" s="227"/>
      <c r="BD75" s="228"/>
      <c r="BE75" s="228"/>
      <c r="BF75" s="228"/>
      <c r="BG75" s="228"/>
      <c r="BH75" s="228"/>
      <c r="BI75" s="228"/>
      <c r="BJ75" s="228"/>
      <c r="BK75" s="228"/>
      <c r="BL75" s="228"/>
      <c r="BM75" s="228"/>
      <c r="BN75" s="228"/>
      <c r="BO75" s="228"/>
      <c r="BP75" s="228"/>
      <c r="BQ75" s="228"/>
      <c r="BR75" s="228"/>
      <c r="BS75" s="228"/>
      <c r="BT75" s="246"/>
      <c r="BU75" s="248"/>
      <c r="BV75" s="228"/>
      <c r="BW75" s="228"/>
      <c r="BX75" s="228"/>
      <c r="BY75" s="228"/>
      <c r="BZ75" s="228"/>
      <c r="CA75" s="228"/>
      <c r="CB75" s="228"/>
      <c r="CC75" s="228"/>
      <c r="CD75" s="228"/>
      <c r="CE75" s="228"/>
      <c r="CF75" s="228"/>
      <c r="CG75" s="228"/>
      <c r="CH75" s="228"/>
      <c r="CI75" s="228"/>
      <c r="CJ75" s="228"/>
      <c r="CK75" s="228"/>
      <c r="CL75" s="246"/>
      <c r="CM75" s="248"/>
      <c r="CN75" s="228"/>
      <c r="CO75" s="228"/>
      <c r="CP75" s="228"/>
      <c r="CQ75" s="228"/>
      <c r="CR75" s="228"/>
      <c r="CS75" s="228"/>
      <c r="CT75" s="228"/>
      <c r="CU75" s="228"/>
      <c r="CV75" s="228"/>
      <c r="CW75" s="228"/>
      <c r="CX75" s="228"/>
      <c r="CY75" s="228"/>
      <c r="CZ75" s="228"/>
      <c r="DA75" s="228"/>
      <c r="DB75" s="228"/>
      <c r="DC75" s="228"/>
      <c r="DD75" s="229"/>
    </row>
    <row r="76" spans="1:108" s="21" customFormat="1" ht="12" thickBot="1" x14ac:dyDescent="0.3">
      <c r="A76" s="209">
        <v>15</v>
      </c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1"/>
      <c r="O76" s="212">
        <v>16</v>
      </c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4"/>
      <c r="AI76" s="215">
        <v>17</v>
      </c>
      <c r="AJ76" s="216"/>
      <c r="AK76" s="216"/>
      <c r="AL76" s="216"/>
      <c r="AM76" s="216"/>
      <c r="AN76" s="216"/>
      <c r="AO76" s="216"/>
      <c r="AP76" s="216"/>
      <c r="AQ76" s="216"/>
      <c r="AR76" s="216"/>
      <c r="AS76" s="216"/>
      <c r="AT76" s="216"/>
      <c r="AU76" s="216"/>
      <c r="AV76" s="216"/>
      <c r="AW76" s="216"/>
      <c r="AX76" s="216"/>
      <c r="AY76" s="216"/>
      <c r="AZ76" s="216"/>
      <c r="BA76" s="216"/>
      <c r="BB76" s="217"/>
      <c r="BC76" s="215">
        <v>18</v>
      </c>
      <c r="BD76" s="216"/>
      <c r="BE76" s="216"/>
      <c r="BF76" s="216"/>
      <c r="BG76" s="216"/>
      <c r="BH76" s="216"/>
      <c r="BI76" s="216"/>
      <c r="BJ76" s="216"/>
      <c r="BK76" s="216"/>
      <c r="BL76" s="216"/>
      <c r="BM76" s="216"/>
      <c r="BN76" s="216"/>
      <c r="BO76" s="216"/>
      <c r="BP76" s="216"/>
      <c r="BQ76" s="216"/>
      <c r="BR76" s="216"/>
      <c r="BS76" s="216"/>
      <c r="BT76" s="218"/>
      <c r="BU76" s="219">
        <v>19</v>
      </c>
      <c r="BV76" s="216"/>
      <c r="BW76" s="216"/>
      <c r="BX76" s="216"/>
      <c r="BY76" s="216"/>
      <c r="BZ76" s="216"/>
      <c r="CA76" s="216"/>
      <c r="CB76" s="216"/>
      <c r="CC76" s="216"/>
      <c r="CD76" s="216"/>
      <c r="CE76" s="216"/>
      <c r="CF76" s="216"/>
      <c r="CG76" s="216"/>
      <c r="CH76" s="216"/>
      <c r="CI76" s="216"/>
      <c r="CJ76" s="216"/>
      <c r="CK76" s="216"/>
      <c r="CL76" s="218"/>
      <c r="CM76" s="219">
        <v>20</v>
      </c>
      <c r="CN76" s="216"/>
      <c r="CO76" s="216"/>
      <c r="CP76" s="216"/>
      <c r="CQ76" s="216"/>
      <c r="CR76" s="216"/>
      <c r="CS76" s="216"/>
      <c r="CT76" s="216"/>
      <c r="CU76" s="216"/>
      <c r="CV76" s="216"/>
      <c r="CW76" s="216"/>
      <c r="CX76" s="216"/>
      <c r="CY76" s="216"/>
      <c r="CZ76" s="216"/>
      <c r="DA76" s="216"/>
      <c r="DB76" s="216"/>
      <c r="DC76" s="216"/>
      <c r="DD76" s="217"/>
    </row>
    <row r="77" spans="1:108" s="21" customFormat="1" ht="15" customHeight="1" x14ac:dyDescent="0.25">
      <c r="A77" s="259" t="s">
        <v>96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1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3"/>
      <c r="AI77" s="264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262"/>
      <c r="AU77" s="262"/>
      <c r="AV77" s="262"/>
      <c r="AW77" s="262"/>
      <c r="AX77" s="262"/>
      <c r="AY77" s="262"/>
      <c r="AZ77" s="262"/>
      <c r="BA77" s="262"/>
      <c r="BB77" s="263"/>
      <c r="BC77" s="265"/>
      <c r="BD77" s="265"/>
      <c r="BE77" s="265"/>
      <c r="BF77" s="265"/>
      <c r="BG77" s="265"/>
      <c r="BH77" s="265"/>
      <c r="BI77" s="265"/>
      <c r="BJ77" s="265"/>
      <c r="BK77" s="265"/>
      <c r="BL77" s="265"/>
      <c r="BM77" s="265"/>
      <c r="BN77" s="265"/>
      <c r="BO77" s="265"/>
      <c r="BP77" s="265"/>
      <c r="BQ77" s="265"/>
      <c r="BR77" s="265"/>
      <c r="BS77" s="265"/>
      <c r="BT77" s="266"/>
      <c r="BU77" s="267"/>
      <c r="BV77" s="265"/>
      <c r="BW77" s="265"/>
      <c r="BX77" s="265"/>
      <c r="BY77" s="265"/>
      <c r="BZ77" s="265"/>
      <c r="CA77" s="265"/>
      <c r="CB77" s="265"/>
      <c r="CC77" s="265"/>
      <c r="CD77" s="265"/>
      <c r="CE77" s="265"/>
      <c r="CF77" s="265"/>
      <c r="CG77" s="265"/>
      <c r="CH77" s="265"/>
      <c r="CI77" s="265"/>
      <c r="CJ77" s="265"/>
      <c r="CK77" s="265"/>
      <c r="CL77" s="266"/>
      <c r="CM77" s="267"/>
      <c r="CN77" s="265"/>
      <c r="CO77" s="265"/>
      <c r="CP77" s="265"/>
      <c r="CQ77" s="265"/>
      <c r="CR77" s="265"/>
      <c r="CS77" s="265"/>
      <c r="CT77" s="265"/>
      <c r="CU77" s="265"/>
      <c r="CV77" s="265"/>
      <c r="CW77" s="265"/>
      <c r="CX77" s="265"/>
      <c r="CY77" s="265"/>
      <c r="CZ77" s="265"/>
      <c r="DA77" s="265"/>
      <c r="DB77" s="265"/>
      <c r="DC77" s="265"/>
      <c r="DD77" s="268"/>
    </row>
    <row r="78" spans="1:108" s="21" customFormat="1" ht="15" customHeight="1" thickBot="1" x14ac:dyDescent="0.3">
      <c r="A78" s="250" t="s">
        <v>97</v>
      </c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2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4"/>
      <c r="AI78" s="255"/>
      <c r="AJ78" s="253"/>
      <c r="AK78" s="253"/>
      <c r="AL78" s="253"/>
      <c r="AM78" s="253"/>
      <c r="AN78" s="253"/>
      <c r="AO78" s="253"/>
      <c r="AP78" s="253"/>
      <c r="AQ78" s="253"/>
      <c r="AR78" s="253"/>
      <c r="AS78" s="253"/>
      <c r="AT78" s="253"/>
      <c r="AU78" s="253"/>
      <c r="AV78" s="253"/>
      <c r="AW78" s="253"/>
      <c r="AX78" s="253"/>
      <c r="AY78" s="253"/>
      <c r="AZ78" s="253"/>
      <c r="BA78" s="253"/>
      <c r="BB78" s="254"/>
      <c r="BC78" s="213"/>
      <c r="BD78" s="213"/>
      <c r="BE78" s="213"/>
      <c r="BF78" s="213"/>
      <c r="BG78" s="213"/>
      <c r="BH78" s="213"/>
      <c r="BI78" s="213"/>
      <c r="BJ78" s="213"/>
      <c r="BK78" s="213"/>
      <c r="BL78" s="213"/>
      <c r="BM78" s="213"/>
      <c r="BN78" s="213"/>
      <c r="BO78" s="213"/>
      <c r="BP78" s="213"/>
      <c r="BQ78" s="213"/>
      <c r="BR78" s="213"/>
      <c r="BS78" s="213"/>
      <c r="BT78" s="256"/>
      <c r="BU78" s="257"/>
      <c r="BV78" s="213"/>
      <c r="BW78" s="213"/>
      <c r="BX78" s="213"/>
      <c r="BY78" s="213"/>
      <c r="BZ78" s="213"/>
      <c r="CA78" s="213"/>
      <c r="CB78" s="213"/>
      <c r="CC78" s="213"/>
      <c r="CD78" s="213"/>
      <c r="CE78" s="213"/>
      <c r="CF78" s="213"/>
      <c r="CG78" s="213"/>
      <c r="CH78" s="213"/>
      <c r="CI78" s="213"/>
      <c r="CJ78" s="213"/>
      <c r="CK78" s="213"/>
      <c r="CL78" s="256"/>
      <c r="CM78" s="257"/>
      <c r="CN78" s="213"/>
      <c r="CO78" s="213"/>
      <c r="CP78" s="213"/>
      <c r="CQ78" s="213"/>
      <c r="CR78" s="213"/>
      <c r="CS78" s="213"/>
      <c r="CT78" s="213"/>
      <c r="CU78" s="213"/>
      <c r="CV78" s="213"/>
      <c r="CW78" s="213"/>
      <c r="CX78" s="213"/>
      <c r="CY78" s="213"/>
      <c r="CZ78" s="213"/>
      <c r="DA78" s="213"/>
      <c r="DB78" s="213"/>
      <c r="DC78" s="213"/>
      <c r="DD78" s="258"/>
    </row>
    <row r="79" spans="1:108" s="21" customFormat="1" ht="12" customHeight="1" thickTop="1" thickBot="1" x14ac:dyDescent="0.3">
      <c r="A79" s="26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</row>
    <row r="80" spans="1:108" s="21" customFormat="1" ht="9" customHeight="1" thickTop="1" x14ac:dyDescent="0.25">
      <c r="A80" s="286" t="s">
        <v>98</v>
      </c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8"/>
      <c r="AG80" s="292" t="s">
        <v>99</v>
      </c>
      <c r="AH80" s="293"/>
      <c r="AI80" s="293"/>
      <c r="AJ80" s="293"/>
      <c r="AK80" s="293"/>
      <c r="AL80" s="293"/>
      <c r="AM80" s="293"/>
      <c r="AN80" s="293"/>
      <c r="AO80" s="293"/>
      <c r="AP80" s="293"/>
      <c r="AQ80" s="293"/>
      <c r="AR80" s="293"/>
      <c r="AS80" s="293"/>
      <c r="AT80" s="293"/>
      <c r="AU80" s="293"/>
      <c r="AV80" s="293"/>
      <c r="AW80" s="293"/>
      <c r="AX80" s="293"/>
      <c r="AY80" s="293"/>
      <c r="AZ80" s="293"/>
      <c r="BA80" s="293"/>
      <c r="BB80" s="293"/>
      <c r="BC80" s="293"/>
      <c r="BD80" s="294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</row>
    <row r="81" spans="1:108" s="21" customFormat="1" ht="12" customHeight="1" x14ac:dyDescent="0.25">
      <c r="A81" s="289"/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90"/>
      <c r="AB81" s="290"/>
      <c r="AC81" s="290"/>
      <c r="AD81" s="290"/>
      <c r="AE81" s="290"/>
      <c r="AF81" s="291"/>
      <c r="AG81" s="295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7"/>
      <c r="BG81" s="21" t="s">
        <v>100</v>
      </c>
      <c r="CA81" s="274"/>
      <c r="CB81" s="274"/>
      <c r="CC81" s="274"/>
      <c r="CD81" s="274"/>
      <c r="CE81" s="274"/>
      <c r="CF81" s="274"/>
      <c r="CG81" s="274"/>
      <c r="CH81" s="274"/>
      <c r="CI81" s="274"/>
      <c r="CJ81" s="274"/>
      <c r="CK81" s="274"/>
      <c r="CL81" s="274"/>
      <c r="CM81" s="274"/>
      <c r="CN81" s="274"/>
      <c r="CO81" s="274"/>
      <c r="CP81" s="274"/>
      <c r="CQ81" s="274"/>
      <c r="CR81" s="274"/>
      <c r="CS81" s="274"/>
      <c r="CT81" s="274"/>
      <c r="CU81" s="274"/>
      <c r="CV81" s="274"/>
      <c r="CW81" s="274"/>
      <c r="CX81" s="274"/>
      <c r="CY81" s="274"/>
      <c r="CZ81" s="274"/>
      <c r="DA81" s="274"/>
      <c r="DB81" s="274"/>
      <c r="DC81" s="274"/>
      <c r="DD81" s="274"/>
    </row>
    <row r="82" spans="1:108" s="21" customFormat="1" ht="15" customHeight="1" x14ac:dyDescent="0.25">
      <c r="A82" s="298" t="s">
        <v>101</v>
      </c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300"/>
      <c r="O82" s="302" t="s">
        <v>102</v>
      </c>
      <c r="P82" s="299"/>
      <c r="Q82" s="299"/>
      <c r="R82" s="299"/>
      <c r="S82" s="299"/>
      <c r="T82" s="299"/>
      <c r="U82" s="299"/>
      <c r="V82" s="299"/>
      <c r="W82" s="299"/>
      <c r="X82" s="299"/>
      <c r="Y82" s="299"/>
      <c r="Z82" s="299"/>
      <c r="AA82" s="299"/>
      <c r="AB82" s="299"/>
      <c r="AC82" s="299"/>
      <c r="AD82" s="299"/>
      <c r="AE82" s="299"/>
      <c r="AF82" s="303"/>
      <c r="AG82" s="295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7"/>
      <c r="BG82" s="274"/>
      <c r="BH82" s="274"/>
      <c r="BI82" s="274"/>
      <c r="BJ82" s="274"/>
      <c r="BK82" s="274"/>
      <c r="BL82" s="274"/>
      <c r="BM82" s="274"/>
      <c r="BN82" s="274"/>
      <c r="BO82" s="274"/>
      <c r="BP82" s="274"/>
      <c r="BQ82" s="274"/>
      <c r="BR82" s="274"/>
      <c r="BS82" s="274"/>
      <c r="BT82" s="274"/>
      <c r="BU82" s="274"/>
      <c r="BV82" s="274"/>
      <c r="BW82" s="274"/>
      <c r="BX82" s="274"/>
      <c r="BY82" s="274"/>
      <c r="BZ82" s="274"/>
      <c r="CA82" s="274"/>
      <c r="CB82" s="274"/>
      <c r="CC82" s="274"/>
      <c r="CD82" s="274"/>
      <c r="CE82" s="274"/>
      <c r="CF82" s="274"/>
      <c r="CG82" s="274"/>
      <c r="CH82" s="274"/>
      <c r="CI82" s="274"/>
      <c r="CJ82" s="274"/>
      <c r="CK82" s="274"/>
      <c r="CL82" s="274"/>
      <c r="CM82" s="274"/>
      <c r="CN82" s="274"/>
      <c r="CO82" s="274"/>
      <c r="CP82" s="274"/>
      <c r="CQ82" s="274"/>
      <c r="CR82" s="274"/>
      <c r="CS82" s="274"/>
      <c r="CT82" s="274"/>
      <c r="CU82" s="274"/>
      <c r="CV82" s="274"/>
      <c r="CW82" s="274"/>
      <c r="CX82" s="274"/>
      <c r="CY82" s="274"/>
      <c r="CZ82" s="274"/>
      <c r="DA82" s="274"/>
      <c r="DB82" s="274"/>
      <c r="DC82" s="274"/>
      <c r="DD82" s="274"/>
    </row>
    <row r="83" spans="1:108" s="21" customFormat="1" ht="7.5" customHeight="1" x14ac:dyDescent="0.25">
      <c r="A83" s="236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301"/>
      <c r="O83" s="304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  <c r="AA83" s="237"/>
      <c r="AB83" s="237"/>
      <c r="AC83" s="237"/>
      <c r="AD83" s="237"/>
      <c r="AE83" s="237"/>
      <c r="AF83" s="238"/>
      <c r="AG83" s="295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7"/>
    </row>
    <row r="84" spans="1:108" s="21" customFormat="1" ht="12" thickBot="1" x14ac:dyDescent="0.3">
      <c r="A84" s="269">
        <v>21</v>
      </c>
      <c r="B84" s="270"/>
      <c r="C84" s="270"/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1">
        <v>22</v>
      </c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2"/>
      <c r="AG84" s="273">
        <v>23</v>
      </c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1"/>
      <c r="AS84" s="271"/>
      <c r="AT84" s="271"/>
      <c r="AU84" s="271"/>
      <c r="AV84" s="271"/>
      <c r="AW84" s="271"/>
      <c r="AX84" s="271"/>
      <c r="AY84" s="271"/>
      <c r="AZ84" s="271"/>
      <c r="BA84" s="271"/>
      <c r="BB84" s="271"/>
      <c r="BC84" s="271"/>
      <c r="BD84" s="272"/>
      <c r="BG84" s="21" t="s">
        <v>103</v>
      </c>
      <c r="CI84" s="274"/>
      <c r="CJ84" s="274"/>
      <c r="CK84" s="274"/>
      <c r="CL84" s="274"/>
      <c r="CM84" s="274"/>
      <c r="CN84" s="274"/>
      <c r="CO84" s="274"/>
      <c r="CP84" s="274"/>
      <c r="CQ84" s="274"/>
      <c r="CR84" s="274"/>
      <c r="CS84" s="274"/>
      <c r="CT84" s="274"/>
      <c r="CU84" s="274"/>
      <c r="CV84" s="274"/>
      <c r="CW84" s="274"/>
      <c r="CX84" s="274"/>
      <c r="CY84" s="274"/>
      <c r="CZ84" s="274"/>
      <c r="DA84" s="274"/>
      <c r="DB84" s="274"/>
      <c r="DC84" s="274"/>
      <c r="DD84" s="274"/>
    </row>
    <row r="85" spans="1:108" s="21" customFormat="1" ht="18" customHeight="1" x14ac:dyDescent="0.25">
      <c r="A85" s="275"/>
      <c r="B85" s="276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7"/>
      <c r="O85" s="281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3"/>
      <c r="AG85" s="284"/>
      <c r="AH85" s="279"/>
      <c r="AI85" s="279"/>
      <c r="AJ85" s="279"/>
      <c r="AK85" s="279"/>
      <c r="AL85" s="279"/>
      <c r="AM85" s="279"/>
      <c r="AN85" s="279"/>
      <c r="AO85" s="279"/>
      <c r="AP85" s="279"/>
      <c r="AQ85" s="279"/>
      <c r="AR85" s="279"/>
      <c r="AS85" s="279"/>
      <c r="AT85" s="279"/>
      <c r="AU85" s="279"/>
      <c r="AV85" s="279"/>
      <c r="AW85" s="279"/>
      <c r="AX85" s="279"/>
      <c r="AY85" s="279"/>
      <c r="AZ85" s="279"/>
      <c r="BA85" s="279"/>
      <c r="BB85" s="279"/>
      <c r="BC85" s="279"/>
      <c r="BD85" s="285"/>
      <c r="BG85" s="274"/>
      <c r="BH85" s="274"/>
      <c r="BI85" s="274"/>
      <c r="BJ85" s="274"/>
      <c r="BK85" s="274"/>
      <c r="BL85" s="274"/>
      <c r="BM85" s="274"/>
      <c r="BN85" s="274"/>
      <c r="BO85" s="274"/>
      <c r="BP85" s="274"/>
      <c r="BQ85" s="274"/>
      <c r="BR85" s="274"/>
      <c r="BS85" s="274"/>
      <c r="BT85" s="274"/>
      <c r="BU85" s="274"/>
      <c r="BV85" s="274"/>
      <c r="BW85" s="274"/>
      <c r="BX85" s="274"/>
      <c r="BY85" s="274"/>
      <c r="BZ85" s="274"/>
      <c r="CA85" s="274"/>
      <c r="CB85" s="274"/>
      <c r="CC85" s="274"/>
      <c r="CD85" s="274"/>
      <c r="CE85" s="274"/>
      <c r="CF85" s="274"/>
      <c r="CG85" s="274"/>
      <c r="CH85" s="274"/>
      <c r="CI85" s="274"/>
      <c r="CJ85" s="274"/>
      <c r="CK85" s="274"/>
      <c r="CL85" s="274"/>
      <c r="CM85" s="274"/>
      <c r="CN85" s="274"/>
      <c r="CO85" s="274"/>
      <c r="CP85" s="274"/>
      <c r="CQ85" s="274"/>
      <c r="CR85" s="274"/>
      <c r="CS85" s="274"/>
      <c r="CT85" s="274"/>
      <c r="CU85" s="274"/>
      <c r="CV85" s="274"/>
      <c r="CW85" s="274"/>
      <c r="CX85" s="274"/>
      <c r="CY85" s="274"/>
      <c r="CZ85" s="274"/>
      <c r="DA85" s="274"/>
      <c r="DB85" s="274"/>
      <c r="DC85" s="274"/>
      <c r="DD85" s="274"/>
    </row>
    <row r="86" spans="1:108" s="21" customFormat="1" ht="6" customHeight="1" x14ac:dyDescent="0.25">
      <c r="A86" s="278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80"/>
      <c r="O86" s="281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3"/>
      <c r="AG86" s="284"/>
      <c r="AH86" s="279"/>
      <c r="AI86" s="279"/>
      <c r="AJ86" s="279"/>
      <c r="AK86" s="279"/>
      <c r="AL86" s="279"/>
      <c r="AM86" s="279"/>
      <c r="AN86" s="279"/>
      <c r="AO86" s="279"/>
      <c r="AP86" s="279"/>
      <c r="AQ86" s="279"/>
      <c r="AR86" s="279"/>
      <c r="AS86" s="279"/>
      <c r="AT86" s="279"/>
      <c r="AU86" s="279"/>
      <c r="AV86" s="279"/>
      <c r="AW86" s="279"/>
      <c r="AX86" s="279"/>
      <c r="AY86" s="279"/>
      <c r="AZ86" s="279"/>
      <c r="BA86" s="279"/>
      <c r="BB86" s="279"/>
      <c r="BC86" s="279"/>
      <c r="BD86" s="285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</row>
    <row r="87" spans="1:108" s="21" customFormat="1" ht="16.5" customHeight="1" x14ac:dyDescent="0.25">
      <c r="A87" s="278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80"/>
      <c r="O87" s="281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  <c r="AA87" s="282"/>
      <c r="AB87" s="282"/>
      <c r="AC87" s="282"/>
      <c r="AD87" s="282"/>
      <c r="AE87" s="282"/>
      <c r="AF87" s="283"/>
      <c r="AG87" s="284"/>
      <c r="AH87" s="279"/>
      <c r="AI87" s="279"/>
      <c r="AJ87" s="279"/>
      <c r="AK87" s="279"/>
      <c r="AL87" s="279"/>
      <c r="AM87" s="279"/>
      <c r="AN87" s="279"/>
      <c r="AO87" s="279"/>
      <c r="AP87" s="279"/>
      <c r="AQ87" s="279"/>
      <c r="AR87" s="279"/>
      <c r="AS87" s="279"/>
      <c r="AT87" s="279"/>
      <c r="AU87" s="279"/>
      <c r="AV87" s="279"/>
      <c r="AW87" s="279"/>
      <c r="AX87" s="279"/>
      <c r="AY87" s="279"/>
      <c r="AZ87" s="279"/>
      <c r="BA87" s="279"/>
      <c r="BB87" s="279"/>
      <c r="BC87" s="279"/>
      <c r="BD87" s="285"/>
      <c r="BG87" s="274"/>
      <c r="BH87" s="274"/>
      <c r="BI87" s="274"/>
      <c r="BJ87" s="274"/>
      <c r="BK87" s="274"/>
      <c r="BL87" s="274"/>
      <c r="BM87" s="274"/>
      <c r="BN87" s="274"/>
      <c r="BO87" s="274"/>
      <c r="BP87" s="274"/>
      <c r="BQ87" s="274"/>
      <c r="BR87" s="274"/>
      <c r="BS87" s="274"/>
      <c r="BT87" s="274"/>
      <c r="BU87" s="274"/>
      <c r="BV87" s="274"/>
      <c r="BW87" s="274"/>
      <c r="BX87" s="274"/>
      <c r="BY87" s="274"/>
      <c r="BZ87" s="274"/>
      <c r="CA87" s="274"/>
      <c r="CB87" s="274"/>
      <c r="CC87" s="274"/>
      <c r="CD87" s="274"/>
      <c r="CE87" s="274"/>
      <c r="CF87" s="274"/>
      <c r="CG87" s="274"/>
      <c r="CH87" s="274"/>
      <c r="CI87" s="274"/>
      <c r="CJ87" s="274"/>
      <c r="CK87" s="274"/>
      <c r="CL87" s="274"/>
      <c r="CM87" s="274"/>
      <c r="CN87" s="274"/>
      <c r="CO87" s="274"/>
      <c r="CP87" s="274"/>
      <c r="CQ87" s="274"/>
      <c r="CR87" s="274"/>
      <c r="CS87" s="274"/>
      <c r="CT87" s="274"/>
      <c r="CU87" s="274"/>
      <c r="CV87" s="274"/>
      <c r="CW87" s="274"/>
      <c r="CX87" s="274"/>
      <c r="CY87" s="274"/>
      <c r="CZ87" s="274"/>
      <c r="DA87" s="274"/>
      <c r="DB87" s="274"/>
      <c r="DC87" s="274"/>
      <c r="DD87" s="274"/>
    </row>
    <row r="88" spans="1:108" s="21" customFormat="1" ht="8.25" customHeight="1" thickBot="1" x14ac:dyDescent="0.3">
      <c r="A88" s="305"/>
      <c r="B88" s="306"/>
      <c r="C88" s="306"/>
      <c r="D88" s="306"/>
      <c r="E88" s="306"/>
      <c r="F88" s="306"/>
      <c r="G88" s="306"/>
      <c r="H88" s="306"/>
      <c r="I88" s="306"/>
      <c r="J88" s="306"/>
      <c r="K88" s="306"/>
      <c r="L88" s="306"/>
      <c r="M88" s="306"/>
      <c r="N88" s="307"/>
      <c r="O88" s="308"/>
      <c r="P88" s="309"/>
      <c r="Q88" s="309"/>
      <c r="R88" s="309"/>
      <c r="S88" s="309"/>
      <c r="T88" s="309"/>
      <c r="U88" s="309"/>
      <c r="V88" s="309"/>
      <c r="W88" s="309"/>
      <c r="X88" s="309"/>
      <c r="Y88" s="309"/>
      <c r="Z88" s="309"/>
      <c r="AA88" s="309"/>
      <c r="AB88" s="309"/>
      <c r="AC88" s="309"/>
      <c r="AD88" s="309"/>
      <c r="AE88" s="309"/>
      <c r="AF88" s="310"/>
      <c r="AG88" s="311"/>
      <c r="AH88" s="312"/>
      <c r="AI88" s="312"/>
      <c r="AJ88" s="312"/>
      <c r="AK88" s="312"/>
      <c r="AL88" s="312"/>
      <c r="AM88" s="312"/>
      <c r="AN88" s="312"/>
      <c r="AO88" s="312"/>
      <c r="AP88" s="312"/>
      <c r="AQ88" s="312"/>
      <c r="AR88" s="312"/>
      <c r="AS88" s="312"/>
      <c r="AT88" s="312"/>
      <c r="AU88" s="312"/>
      <c r="AV88" s="312"/>
      <c r="AW88" s="312"/>
      <c r="AX88" s="312"/>
      <c r="AY88" s="312"/>
      <c r="AZ88" s="312"/>
      <c r="BA88" s="312"/>
      <c r="BB88" s="312"/>
      <c r="BC88" s="312"/>
      <c r="BD88" s="313"/>
    </row>
    <row r="89" spans="1:108" s="21" customFormat="1" ht="24.75" customHeight="1" x14ac:dyDescent="0.3">
      <c r="A89" s="220" t="s">
        <v>104</v>
      </c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  <c r="BB89" s="220"/>
      <c r="BC89" s="220"/>
      <c r="BD89" s="220"/>
      <c r="BE89" s="220"/>
      <c r="BF89" s="220"/>
      <c r="BG89" s="220"/>
      <c r="BH89" s="220"/>
      <c r="BI89" s="220"/>
      <c r="BJ89" s="220"/>
      <c r="BK89" s="220"/>
      <c r="BL89" s="220"/>
      <c r="BM89" s="220"/>
      <c r="BN89" s="220"/>
      <c r="BO89" s="220"/>
      <c r="BP89" s="220"/>
      <c r="BQ89" s="220"/>
      <c r="BR89" s="220"/>
      <c r="BS89" s="220"/>
      <c r="BT89" s="220"/>
      <c r="BU89" s="220"/>
      <c r="BV89" s="220"/>
      <c r="BW89" s="220"/>
      <c r="BX89" s="220"/>
      <c r="BY89" s="220"/>
      <c r="BZ89" s="220"/>
      <c r="CA89" s="220"/>
      <c r="CB89" s="220"/>
      <c r="CC89" s="220"/>
      <c r="CD89" s="220"/>
      <c r="CE89" s="220"/>
      <c r="CF89" s="220"/>
      <c r="CG89" s="220"/>
      <c r="CH89" s="220"/>
      <c r="CI89" s="220"/>
      <c r="CJ89" s="220"/>
      <c r="CK89" s="220"/>
      <c r="CL89" s="220"/>
      <c r="CM89" s="220"/>
      <c r="CN89" s="220"/>
      <c r="CO89" s="220"/>
      <c r="CP89" s="220"/>
      <c r="CQ89" s="220"/>
      <c r="CR89" s="220"/>
      <c r="CS89" s="220"/>
      <c r="CT89" s="220"/>
      <c r="CU89" s="220"/>
      <c r="CV89" s="220"/>
      <c r="CW89" s="220"/>
      <c r="CX89" s="220"/>
      <c r="CY89" s="220"/>
      <c r="CZ89" s="220"/>
      <c r="DA89" s="220"/>
      <c r="DB89" s="220"/>
      <c r="DC89" s="220"/>
      <c r="DD89" s="220"/>
    </row>
    <row r="90" spans="1:108" s="21" customFormat="1" ht="2.25" customHeight="1" thickBot="1" x14ac:dyDescent="0.3"/>
    <row r="91" spans="1:108" s="21" customFormat="1" ht="12" thickTop="1" x14ac:dyDescent="0.25">
      <c r="A91" s="314" t="s">
        <v>105</v>
      </c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  <c r="AT91" s="315"/>
      <c r="AU91" s="315"/>
      <c r="AV91" s="315"/>
      <c r="AW91" s="315"/>
      <c r="AX91" s="315"/>
      <c r="AY91" s="315"/>
      <c r="AZ91" s="315"/>
      <c r="BA91" s="315"/>
      <c r="BB91" s="315"/>
      <c r="BC91" s="315"/>
      <c r="BD91" s="315"/>
      <c r="BE91" s="315"/>
      <c r="BF91" s="315"/>
      <c r="BG91" s="315"/>
      <c r="BH91" s="315"/>
      <c r="BI91" s="315"/>
      <c r="BJ91" s="315"/>
      <c r="BK91" s="315"/>
      <c r="BL91" s="315"/>
      <c r="BM91" s="316"/>
      <c r="BN91" s="317" t="s">
        <v>106</v>
      </c>
      <c r="BO91" s="315"/>
      <c r="BP91" s="315"/>
      <c r="BQ91" s="315"/>
      <c r="BR91" s="315"/>
      <c r="BS91" s="315"/>
      <c r="BT91" s="315"/>
      <c r="BU91" s="315"/>
      <c r="BV91" s="315"/>
      <c r="BW91" s="315"/>
      <c r="BX91" s="315"/>
      <c r="BY91" s="315"/>
      <c r="BZ91" s="316"/>
      <c r="CA91" s="314" t="s">
        <v>107</v>
      </c>
      <c r="CB91" s="315"/>
      <c r="CC91" s="315"/>
      <c r="CD91" s="315"/>
      <c r="CE91" s="315"/>
      <c r="CF91" s="315"/>
      <c r="CG91" s="315"/>
      <c r="CH91" s="315"/>
      <c r="CI91" s="315"/>
      <c r="CJ91" s="315"/>
      <c r="CK91" s="315"/>
      <c r="CL91" s="315"/>
      <c r="CM91" s="315"/>
      <c r="CN91" s="315"/>
      <c r="CO91" s="315"/>
      <c r="CP91" s="315"/>
      <c r="CQ91" s="315"/>
      <c r="CR91" s="315"/>
      <c r="CS91" s="315"/>
      <c r="CT91" s="315"/>
      <c r="CU91" s="315"/>
      <c r="CV91" s="315"/>
      <c r="CW91" s="315"/>
      <c r="CX91" s="315"/>
      <c r="CY91" s="315"/>
      <c r="CZ91" s="315"/>
      <c r="DA91" s="315"/>
      <c r="DB91" s="315"/>
      <c r="DC91" s="315"/>
      <c r="DD91" s="316"/>
    </row>
    <row r="92" spans="1:108" s="21" customFormat="1" ht="15" customHeight="1" x14ac:dyDescent="0.25">
      <c r="A92" s="273" t="s">
        <v>108</v>
      </c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 t="s">
        <v>109</v>
      </c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 t="s">
        <v>110</v>
      </c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 t="s">
        <v>111</v>
      </c>
      <c r="AO92" s="271"/>
      <c r="AP92" s="271"/>
      <c r="AQ92" s="271"/>
      <c r="AR92" s="271"/>
      <c r="AS92" s="271"/>
      <c r="AT92" s="271"/>
      <c r="AU92" s="271"/>
      <c r="AV92" s="271"/>
      <c r="AW92" s="271"/>
      <c r="AX92" s="271"/>
      <c r="AY92" s="271"/>
      <c r="AZ92" s="271"/>
      <c r="BA92" s="271" t="s">
        <v>112</v>
      </c>
      <c r="BB92" s="271"/>
      <c r="BC92" s="271"/>
      <c r="BD92" s="271"/>
      <c r="BE92" s="271"/>
      <c r="BF92" s="271"/>
      <c r="BG92" s="271"/>
      <c r="BH92" s="271"/>
      <c r="BI92" s="271"/>
      <c r="BJ92" s="271"/>
      <c r="BK92" s="271"/>
      <c r="BL92" s="271"/>
      <c r="BM92" s="272"/>
      <c r="BN92" s="273"/>
      <c r="BO92" s="271"/>
      <c r="BP92" s="271"/>
      <c r="BQ92" s="271"/>
      <c r="BR92" s="271"/>
      <c r="BS92" s="271"/>
      <c r="BT92" s="271"/>
      <c r="BU92" s="271"/>
      <c r="BV92" s="271"/>
      <c r="BW92" s="271"/>
      <c r="BX92" s="271"/>
      <c r="BY92" s="271"/>
      <c r="BZ92" s="272"/>
      <c r="CA92" s="273" t="s">
        <v>113</v>
      </c>
      <c r="CB92" s="271"/>
      <c r="CC92" s="271"/>
      <c r="CD92" s="271"/>
      <c r="CE92" s="271"/>
      <c r="CF92" s="271"/>
      <c r="CG92" s="271"/>
      <c r="CH92" s="271"/>
      <c r="CI92" s="271"/>
      <c r="CJ92" s="271"/>
      <c r="CK92" s="271"/>
      <c r="CL92" s="271"/>
      <c r="CM92" s="271"/>
      <c r="CN92" s="271"/>
      <c r="CO92" s="271"/>
      <c r="CP92" s="271" t="s">
        <v>114</v>
      </c>
      <c r="CQ92" s="271"/>
      <c r="CR92" s="271"/>
      <c r="CS92" s="271"/>
      <c r="CT92" s="271"/>
      <c r="CU92" s="271"/>
      <c r="CV92" s="271"/>
      <c r="CW92" s="271"/>
      <c r="CX92" s="271"/>
      <c r="CY92" s="271"/>
      <c r="CZ92" s="271"/>
      <c r="DA92" s="271"/>
      <c r="DB92" s="271"/>
      <c r="DC92" s="271"/>
      <c r="DD92" s="272"/>
    </row>
    <row r="93" spans="1:108" s="21" customFormat="1" ht="12" thickBot="1" x14ac:dyDescent="0.3">
      <c r="A93" s="269">
        <v>24</v>
      </c>
      <c r="B93" s="270"/>
      <c r="C93" s="270"/>
      <c r="D93" s="270"/>
      <c r="E93" s="270"/>
      <c r="F93" s="270"/>
      <c r="G93" s="270"/>
      <c r="H93" s="270"/>
      <c r="I93" s="270"/>
      <c r="J93" s="270"/>
      <c r="K93" s="270"/>
      <c r="L93" s="270"/>
      <c r="M93" s="270"/>
      <c r="N93" s="270">
        <v>25</v>
      </c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  <c r="AA93" s="270">
        <v>26</v>
      </c>
      <c r="AB93" s="270"/>
      <c r="AC93" s="270"/>
      <c r="AD93" s="270"/>
      <c r="AE93" s="270"/>
      <c r="AF93" s="270"/>
      <c r="AG93" s="270"/>
      <c r="AH93" s="270"/>
      <c r="AI93" s="270"/>
      <c r="AJ93" s="270"/>
      <c r="AK93" s="270"/>
      <c r="AL93" s="270"/>
      <c r="AM93" s="270"/>
      <c r="AN93" s="270">
        <v>27</v>
      </c>
      <c r="AO93" s="270"/>
      <c r="AP93" s="270"/>
      <c r="AQ93" s="270"/>
      <c r="AR93" s="270"/>
      <c r="AS93" s="270"/>
      <c r="AT93" s="270"/>
      <c r="AU93" s="270"/>
      <c r="AV93" s="270"/>
      <c r="AW93" s="270"/>
      <c r="AX93" s="270"/>
      <c r="AY93" s="270"/>
      <c r="AZ93" s="270"/>
      <c r="BA93" s="270">
        <v>28</v>
      </c>
      <c r="BB93" s="270"/>
      <c r="BC93" s="270"/>
      <c r="BD93" s="270"/>
      <c r="BE93" s="270"/>
      <c r="BF93" s="270"/>
      <c r="BG93" s="270"/>
      <c r="BH93" s="270"/>
      <c r="BI93" s="270"/>
      <c r="BJ93" s="270"/>
      <c r="BK93" s="270"/>
      <c r="BL93" s="270"/>
      <c r="BM93" s="318"/>
      <c r="BN93" s="269">
        <v>29</v>
      </c>
      <c r="BO93" s="270"/>
      <c r="BP93" s="270"/>
      <c r="BQ93" s="270"/>
      <c r="BR93" s="270"/>
      <c r="BS93" s="270"/>
      <c r="BT93" s="270"/>
      <c r="BU93" s="270"/>
      <c r="BV93" s="270"/>
      <c r="BW93" s="270"/>
      <c r="BX93" s="270"/>
      <c r="BY93" s="270"/>
      <c r="BZ93" s="318"/>
      <c r="CA93" s="269">
        <v>30</v>
      </c>
      <c r="CB93" s="270"/>
      <c r="CC93" s="270"/>
      <c r="CD93" s="270"/>
      <c r="CE93" s="270"/>
      <c r="CF93" s="270"/>
      <c r="CG93" s="270"/>
      <c r="CH93" s="270"/>
      <c r="CI93" s="270"/>
      <c r="CJ93" s="270"/>
      <c r="CK93" s="270"/>
      <c r="CL93" s="270"/>
      <c r="CM93" s="270"/>
      <c r="CN93" s="270"/>
      <c r="CO93" s="270"/>
      <c r="CP93" s="270">
        <v>31</v>
      </c>
      <c r="CQ93" s="270"/>
      <c r="CR93" s="270"/>
      <c r="CS93" s="270"/>
      <c r="CT93" s="270"/>
      <c r="CU93" s="270"/>
      <c r="CV93" s="270"/>
      <c r="CW93" s="270"/>
      <c r="CX93" s="270"/>
      <c r="CY93" s="270"/>
      <c r="CZ93" s="270"/>
      <c r="DA93" s="270"/>
      <c r="DB93" s="270"/>
      <c r="DC93" s="270"/>
      <c r="DD93" s="318"/>
    </row>
    <row r="94" spans="1:108" s="21" customFormat="1" ht="15" customHeight="1" thickBot="1" x14ac:dyDescent="0.3">
      <c r="A94" s="319"/>
      <c r="B94" s="320"/>
      <c r="C94" s="320"/>
      <c r="D94" s="320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20"/>
      <c r="AD94" s="320"/>
      <c r="AE94" s="320"/>
      <c r="AF94" s="320"/>
      <c r="AG94" s="320"/>
      <c r="AH94" s="320"/>
      <c r="AI94" s="320"/>
      <c r="AJ94" s="320"/>
      <c r="AK94" s="320"/>
      <c r="AL94" s="320"/>
      <c r="AM94" s="320"/>
      <c r="AN94" s="320"/>
      <c r="AO94" s="320"/>
      <c r="AP94" s="320"/>
      <c r="AQ94" s="320"/>
      <c r="AR94" s="320"/>
      <c r="AS94" s="320"/>
      <c r="AT94" s="320"/>
      <c r="AU94" s="320"/>
      <c r="AV94" s="320"/>
      <c r="AW94" s="320"/>
      <c r="AX94" s="320"/>
      <c r="AY94" s="320"/>
      <c r="AZ94" s="320"/>
      <c r="BA94" s="320"/>
      <c r="BB94" s="320"/>
      <c r="BC94" s="320"/>
      <c r="BD94" s="320"/>
      <c r="BE94" s="320"/>
      <c r="BF94" s="320"/>
      <c r="BG94" s="320"/>
      <c r="BH94" s="320"/>
      <c r="BI94" s="320"/>
      <c r="BJ94" s="320"/>
      <c r="BK94" s="320"/>
      <c r="BL94" s="320"/>
      <c r="BM94" s="321"/>
      <c r="BN94" s="322"/>
      <c r="BO94" s="323"/>
      <c r="BP94" s="323"/>
      <c r="BQ94" s="323"/>
      <c r="BR94" s="323"/>
      <c r="BS94" s="323"/>
      <c r="BT94" s="323"/>
      <c r="BU94" s="323"/>
      <c r="BV94" s="323"/>
      <c r="BW94" s="323"/>
      <c r="BX94" s="323"/>
      <c r="BY94" s="323"/>
      <c r="BZ94" s="324"/>
      <c r="CA94" s="325"/>
      <c r="CB94" s="320"/>
      <c r="CC94" s="320"/>
      <c r="CD94" s="320"/>
      <c r="CE94" s="320"/>
      <c r="CF94" s="320"/>
      <c r="CG94" s="320"/>
      <c r="CH94" s="320"/>
      <c r="CI94" s="320"/>
      <c r="CJ94" s="320"/>
      <c r="CK94" s="320"/>
      <c r="CL94" s="320"/>
      <c r="CM94" s="320"/>
      <c r="CN94" s="320"/>
      <c r="CO94" s="320"/>
      <c r="CP94" s="320"/>
      <c r="CQ94" s="320"/>
      <c r="CR94" s="320"/>
      <c r="CS94" s="320"/>
      <c r="CT94" s="320"/>
      <c r="CU94" s="320"/>
      <c r="CV94" s="320"/>
      <c r="CW94" s="320"/>
      <c r="CX94" s="320"/>
      <c r="CY94" s="320"/>
      <c r="CZ94" s="320"/>
      <c r="DA94" s="320"/>
      <c r="DB94" s="320"/>
      <c r="DC94" s="320"/>
      <c r="DD94" s="326"/>
    </row>
    <row r="95" spans="1:108" s="21" customFormat="1" ht="12" customHeight="1" thickBot="1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</row>
    <row r="96" spans="1:108" s="21" customFormat="1" ht="12.9" customHeight="1" thickTop="1" x14ac:dyDescent="0.25">
      <c r="A96" s="327" t="s">
        <v>115</v>
      </c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9"/>
      <c r="Y96" s="317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4"/>
      <c r="AK96" s="239" t="s">
        <v>116</v>
      </c>
      <c r="AL96" s="338"/>
      <c r="AM96" s="338"/>
      <c r="AN96" s="338"/>
      <c r="AO96" s="338"/>
      <c r="AP96" s="338"/>
      <c r="AQ96" s="338"/>
      <c r="AR96" s="338"/>
      <c r="AS96" s="338"/>
      <c r="AT96" s="338"/>
      <c r="AU96" s="338"/>
      <c r="AV96" s="338"/>
      <c r="AW96" s="338"/>
      <c r="AX96" s="338"/>
      <c r="AY96" s="338"/>
      <c r="AZ96" s="338"/>
      <c r="BA96" s="338"/>
      <c r="BB96" s="339"/>
      <c r="BC96" s="221" t="s">
        <v>117</v>
      </c>
      <c r="BD96" s="222"/>
      <c r="BE96" s="222"/>
      <c r="BF96" s="222"/>
      <c r="BG96" s="222"/>
      <c r="BH96" s="222"/>
      <c r="BI96" s="222"/>
      <c r="BJ96" s="222"/>
      <c r="BK96" s="222"/>
      <c r="BL96" s="222"/>
      <c r="BM96" s="222"/>
      <c r="BN96" s="292"/>
      <c r="BO96" s="293"/>
      <c r="BP96" s="293"/>
      <c r="BQ96" s="293"/>
      <c r="BR96" s="293"/>
      <c r="BS96" s="293"/>
      <c r="BT96" s="293"/>
      <c r="BU96" s="293"/>
      <c r="BV96" s="293"/>
      <c r="BW96" s="293"/>
      <c r="BX96" s="293"/>
      <c r="BY96" s="293"/>
      <c r="BZ96" s="294"/>
      <c r="CA96" s="239"/>
      <c r="CB96" s="338"/>
      <c r="CC96" s="338"/>
      <c r="CD96" s="338"/>
      <c r="CE96" s="338"/>
      <c r="CF96" s="338"/>
      <c r="CG96" s="338"/>
      <c r="CH96" s="338"/>
      <c r="CI96" s="338"/>
      <c r="CJ96" s="338"/>
      <c r="CK96" s="338"/>
      <c r="CL96" s="338"/>
      <c r="CM96" s="338"/>
      <c r="CN96" s="338"/>
      <c r="CO96" s="339"/>
      <c r="CP96" s="239"/>
      <c r="CQ96" s="338"/>
      <c r="CR96" s="338"/>
      <c r="CS96" s="338"/>
      <c r="CT96" s="338"/>
      <c r="CU96" s="338"/>
      <c r="CV96" s="338"/>
      <c r="CW96" s="338"/>
      <c r="CX96" s="338"/>
      <c r="CY96" s="338"/>
      <c r="CZ96" s="338"/>
      <c r="DA96" s="338"/>
      <c r="DB96" s="338"/>
      <c r="DC96" s="338"/>
      <c r="DD96" s="339"/>
    </row>
    <row r="97" spans="1:108" s="21" customFormat="1" ht="12.9" customHeight="1" x14ac:dyDescent="0.25">
      <c r="A97" s="330"/>
      <c r="B97" s="331"/>
      <c r="C97" s="331"/>
      <c r="D97" s="331"/>
      <c r="E97" s="331"/>
      <c r="F97" s="331"/>
      <c r="G97" s="331"/>
      <c r="H97" s="331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/>
      <c r="X97" s="332"/>
      <c r="Y97" s="335"/>
      <c r="Z97" s="336"/>
      <c r="AA97" s="336"/>
      <c r="AB97" s="336"/>
      <c r="AC97" s="336"/>
      <c r="AD97" s="336"/>
      <c r="AE97" s="336"/>
      <c r="AF97" s="336"/>
      <c r="AG97" s="336"/>
      <c r="AH97" s="336"/>
      <c r="AI97" s="336"/>
      <c r="AJ97" s="337"/>
      <c r="AK97" s="340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2"/>
      <c r="BC97" s="224"/>
      <c r="BD97" s="225"/>
      <c r="BE97" s="225"/>
      <c r="BF97" s="225"/>
      <c r="BG97" s="225"/>
      <c r="BH97" s="225"/>
      <c r="BI97" s="225"/>
      <c r="BJ97" s="225"/>
      <c r="BK97" s="225"/>
      <c r="BL97" s="225"/>
      <c r="BM97" s="225"/>
      <c r="BN97" s="295"/>
      <c r="BO97" s="296"/>
      <c r="BP97" s="296"/>
      <c r="BQ97" s="296"/>
      <c r="BR97" s="296"/>
      <c r="BS97" s="296"/>
      <c r="BT97" s="296"/>
      <c r="BU97" s="296"/>
      <c r="BV97" s="296"/>
      <c r="BW97" s="296"/>
      <c r="BX97" s="296"/>
      <c r="BY97" s="296"/>
      <c r="BZ97" s="297"/>
      <c r="CA97" s="340"/>
      <c r="CB97" s="341"/>
      <c r="CC97" s="341"/>
      <c r="CD97" s="341"/>
      <c r="CE97" s="341"/>
      <c r="CF97" s="341"/>
      <c r="CG97" s="341"/>
      <c r="CH97" s="341"/>
      <c r="CI97" s="341"/>
      <c r="CJ97" s="341"/>
      <c r="CK97" s="341"/>
      <c r="CL97" s="341"/>
      <c r="CM97" s="341"/>
      <c r="CN97" s="341"/>
      <c r="CO97" s="342"/>
      <c r="CP97" s="340"/>
      <c r="CQ97" s="341"/>
      <c r="CR97" s="341"/>
      <c r="CS97" s="341"/>
      <c r="CT97" s="341"/>
      <c r="CU97" s="341"/>
      <c r="CV97" s="341"/>
      <c r="CW97" s="341"/>
      <c r="CX97" s="341"/>
      <c r="CY97" s="341"/>
      <c r="CZ97" s="341"/>
      <c r="DA97" s="341"/>
      <c r="DB97" s="341"/>
      <c r="DC97" s="341"/>
      <c r="DD97" s="342"/>
    </row>
    <row r="98" spans="1:108" s="21" customFormat="1" ht="12.9" customHeight="1" x14ac:dyDescent="0.25">
      <c r="A98" s="335" t="s">
        <v>118</v>
      </c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336" t="s">
        <v>119</v>
      </c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2"/>
      <c r="Y98" s="335"/>
      <c r="Z98" s="336"/>
      <c r="AA98" s="336"/>
      <c r="AB98" s="336"/>
      <c r="AC98" s="336"/>
      <c r="AD98" s="336"/>
      <c r="AE98" s="336"/>
      <c r="AF98" s="336"/>
      <c r="AG98" s="336"/>
      <c r="AH98" s="336"/>
      <c r="AI98" s="336"/>
      <c r="AJ98" s="337"/>
      <c r="AK98" s="340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  <c r="BB98" s="342"/>
      <c r="BC98" s="227"/>
      <c r="BD98" s="228"/>
      <c r="BE98" s="228"/>
      <c r="BF98" s="228"/>
      <c r="BG98" s="228"/>
      <c r="BH98" s="228"/>
      <c r="BI98" s="228"/>
      <c r="BJ98" s="228"/>
      <c r="BK98" s="228"/>
      <c r="BL98" s="228"/>
      <c r="BM98" s="228"/>
      <c r="BN98" s="295"/>
      <c r="BO98" s="296"/>
      <c r="BP98" s="296"/>
      <c r="BQ98" s="296"/>
      <c r="BR98" s="296"/>
      <c r="BS98" s="296"/>
      <c r="BT98" s="296"/>
      <c r="BU98" s="296"/>
      <c r="BV98" s="296"/>
      <c r="BW98" s="296"/>
      <c r="BX98" s="296"/>
      <c r="BY98" s="296"/>
      <c r="BZ98" s="297"/>
      <c r="CA98" s="346"/>
      <c r="CB98" s="347"/>
      <c r="CC98" s="347"/>
      <c r="CD98" s="347"/>
      <c r="CE98" s="347"/>
      <c r="CF98" s="347"/>
      <c r="CG98" s="347"/>
      <c r="CH98" s="347"/>
      <c r="CI98" s="347"/>
      <c r="CJ98" s="347"/>
      <c r="CK98" s="347"/>
      <c r="CL98" s="347"/>
      <c r="CM98" s="347"/>
      <c r="CN98" s="347"/>
      <c r="CO98" s="348"/>
      <c r="CP98" s="346"/>
      <c r="CQ98" s="347"/>
      <c r="CR98" s="347"/>
      <c r="CS98" s="347"/>
      <c r="CT98" s="347"/>
      <c r="CU98" s="347"/>
      <c r="CV98" s="347"/>
      <c r="CW98" s="347"/>
      <c r="CX98" s="347"/>
      <c r="CY98" s="347"/>
      <c r="CZ98" s="347"/>
      <c r="DA98" s="347"/>
      <c r="DB98" s="347"/>
      <c r="DC98" s="347"/>
      <c r="DD98" s="348"/>
    </row>
    <row r="99" spans="1:108" s="21" customFormat="1" ht="12.9" customHeight="1" thickBot="1" x14ac:dyDescent="0.3">
      <c r="A99" s="273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2"/>
      <c r="Y99" s="335"/>
      <c r="Z99" s="336"/>
      <c r="AA99" s="336"/>
      <c r="AB99" s="336"/>
      <c r="AC99" s="336"/>
      <c r="AD99" s="336"/>
      <c r="AE99" s="336"/>
      <c r="AF99" s="336"/>
      <c r="AG99" s="336"/>
      <c r="AH99" s="336"/>
      <c r="AI99" s="336"/>
      <c r="AJ99" s="337"/>
      <c r="AK99" s="343"/>
      <c r="AL99" s="344"/>
      <c r="AM99" s="344"/>
      <c r="AN99" s="344"/>
      <c r="AO99" s="344"/>
      <c r="AP99" s="344"/>
      <c r="AQ99" s="344"/>
      <c r="AR99" s="344"/>
      <c r="AS99" s="344"/>
      <c r="AT99" s="344"/>
      <c r="AU99" s="344"/>
      <c r="AV99" s="344"/>
      <c r="AW99" s="344"/>
      <c r="AX99" s="344"/>
      <c r="AY99" s="344"/>
      <c r="AZ99" s="344"/>
      <c r="BA99" s="344"/>
      <c r="BB99" s="345"/>
      <c r="BC99" s="269">
        <v>35</v>
      </c>
      <c r="BD99" s="270"/>
      <c r="BE99" s="270"/>
      <c r="BF99" s="270"/>
      <c r="BG99" s="270"/>
      <c r="BH99" s="270"/>
      <c r="BI99" s="270"/>
      <c r="BJ99" s="270"/>
      <c r="BK99" s="270"/>
      <c r="BL99" s="270"/>
      <c r="BM99" s="219"/>
      <c r="BN99" s="269">
        <v>36</v>
      </c>
      <c r="BO99" s="270"/>
      <c r="BP99" s="270"/>
      <c r="BQ99" s="270"/>
      <c r="BR99" s="270"/>
      <c r="BS99" s="270"/>
      <c r="BT99" s="270"/>
      <c r="BU99" s="270"/>
      <c r="BV99" s="270"/>
      <c r="BW99" s="270"/>
      <c r="BX99" s="270"/>
      <c r="BY99" s="270"/>
      <c r="BZ99" s="318"/>
      <c r="CA99" s="269">
        <v>37</v>
      </c>
      <c r="CB99" s="270"/>
      <c r="CC99" s="270"/>
      <c r="CD99" s="270"/>
      <c r="CE99" s="270"/>
      <c r="CF99" s="270"/>
      <c r="CG99" s="270"/>
      <c r="CH99" s="270"/>
      <c r="CI99" s="270"/>
      <c r="CJ99" s="270"/>
      <c r="CK99" s="270"/>
      <c r="CL99" s="270"/>
      <c r="CM99" s="270"/>
      <c r="CN99" s="270"/>
      <c r="CO99" s="318"/>
      <c r="CP99" s="269">
        <v>38</v>
      </c>
      <c r="CQ99" s="270"/>
      <c r="CR99" s="270"/>
      <c r="CS99" s="270"/>
      <c r="CT99" s="270"/>
      <c r="CU99" s="270"/>
      <c r="CV99" s="270"/>
      <c r="CW99" s="270"/>
      <c r="CX99" s="270"/>
      <c r="CY99" s="270"/>
      <c r="CZ99" s="270"/>
      <c r="DA99" s="270"/>
      <c r="DB99" s="270"/>
      <c r="DC99" s="270"/>
      <c r="DD99" s="318"/>
    </row>
    <row r="100" spans="1:108" s="21" customFormat="1" ht="13.5" customHeight="1" thickTop="1" thickBot="1" x14ac:dyDescent="0.3">
      <c r="A100" s="269">
        <v>32</v>
      </c>
      <c r="B100" s="270"/>
      <c r="C100" s="270"/>
      <c r="D100" s="270"/>
      <c r="E100" s="270"/>
      <c r="F100" s="270"/>
      <c r="G100" s="270"/>
      <c r="H100" s="270"/>
      <c r="I100" s="270"/>
      <c r="J100" s="270"/>
      <c r="K100" s="270"/>
      <c r="L100" s="270"/>
      <c r="M100" s="270">
        <v>33</v>
      </c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318"/>
      <c r="Y100" s="269">
        <v>34</v>
      </c>
      <c r="Z100" s="270"/>
      <c r="AA100" s="270"/>
      <c r="AB100" s="270"/>
      <c r="AC100" s="270"/>
      <c r="AD100" s="270"/>
      <c r="AE100" s="270"/>
      <c r="AF100" s="270"/>
      <c r="AG100" s="270"/>
      <c r="AH100" s="270"/>
      <c r="AI100" s="270"/>
      <c r="AJ100" s="318"/>
      <c r="AK100" s="33"/>
      <c r="AL100" s="33"/>
      <c r="AM100" s="349" t="s">
        <v>120</v>
      </c>
      <c r="AN100" s="349"/>
      <c r="AO100" s="349"/>
      <c r="AP100" s="349"/>
      <c r="AQ100" s="349"/>
      <c r="AR100" s="349"/>
      <c r="AS100" s="349"/>
      <c r="AT100" s="349"/>
      <c r="AU100" s="349"/>
      <c r="AV100" s="349"/>
      <c r="AW100" s="349"/>
      <c r="AX100" s="349"/>
      <c r="AY100" s="349"/>
      <c r="AZ100" s="349"/>
      <c r="BA100" s="349"/>
      <c r="BB100" s="350"/>
      <c r="BC100" s="351"/>
      <c r="BD100" s="352"/>
      <c r="BE100" s="352"/>
      <c r="BF100" s="352"/>
      <c r="BG100" s="352"/>
      <c r="BH100" s="352"/>
      <c r="BI100" s="352"/>
      <c r="BJ100" s="352"/>
      <c r="BK100" s="352"/>
      <c r="BL100" s="352"/>
      <c r="BM100" s="267"/>
      <c r="BN100" s="353"/>
      <c r="BO100" s="352"/>
      <c r="BP100" s="352"/>
      <c r="BQ100" s="352"/>
      <c r="BR100" s="352"/>
      <c r="BS100" s="352"/>
      <c r="BT100" s="352"/>
      <c r="BU100" s="352"/>
      <c r="BV100" s="352"/>
      <c r="BW100" s="352"/>
      <c r="BX100" s="352"/>
      <c r="BY100" s="352"/>
      <c r="BZ100" s="354"/>
      <c r="CA100" s="353"/>
      <c r="CB100" s="352"/>
      <c r="CC100" s="352"/>
      <c r="CD100" s="352"/>
      <c r="CE100" s="352"/>
      <c r="CF100" s="352"/>
      <c r="CG100" s="352"/>
      <c r="CH100" s="352"/>
      <c r="CI100" s="352"/>
      <c r="CJ100" s="352"/>
      <c r="CK100" s="352"/>
      <c r="CL100" s="352"/>
      <c r="CM100" s="352"/>
      <c r="CN100" s="352"/>
      <c r="CO100" s="354"/>
      <c r="CP100" s="266"/>
      <c r="CQ100" s="352"/>
      <c r="CR100" s="352"/>
      <c r="CS100" s="352"/>
      <c r="CT100" s="352"/>
      <c r="CU100" s="352"/>
      <c r="CV100" s="352"/>
      <c r="CW100" s="352"/>
      <c r="CX100" s="352"/>
      <c r="CY100" s="352"/>
      <c r="CZ100" s="352"/>
      <c r="DA100" s="352"/>
      <c r="DB100" s="352"/>
      <c r="DC100" s="352"/>
      <c r="DD100" s="355"/>
    </row>
    <row r="101" spans="1:108" s="21" customFormat="1" x14ac:dyDescent="0.25">
      <c r="A101" s="356"/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60"/>
      <c r="Y101" s="362"/>
      <c r="Z101" s="357"/>
      <c r="AA101" s="357"/>
      <c r="AB101" s="357"/>
      <c r="AC101" s="357"/>
      <c r="AD101" s="357"/>
      <c r="AE101" s="357"/>
      <c r="AF101" s="357"/>
      <c r="AG101" s="357"/>
      <c r="AH101" s="357"/>
      <c r="AI101" s="357"/>
      <c r="AJ101" s="363"/>
      <c r="AL101" s="366" t="s">
        <v>121</v>
      </c>
      <c r="AM101" s="366"/>
      <c r="AN101" s="366"/>
      <c r="AO101" s="366"/>
      <c r="AP101" s="366"/>
      <c r="AQ101" s="366"/>
      <c r="AR101" s="366"/>
      <c r="AS101" s="366"/>
      <c r="AT101" s="366"/>
      <c r="AU101" s="366"/>
      <c r="AV101" s="366"/>
      <c r="AW101" s="366"/>
      <c r="AX101" s="366"/>
      <c r="AY101" s="366"/>
      <c r="AZ101" s="366"/>
      <c r="BA101" s="366"/>
      <c r="BB101" s="367"/>
      <c r="BC101" s="368"/>
      <c r="BD101" s="271"/>
      <c r="BE101" s="271"/>
      <c r="BF101" s="271"/>
      <c r="BG101" s="271"/>
      <c r="BH101" s="271"/>
      <c r="BI101" s="271"/>
      <c r="BJ101" s="271"/>
      <c r="BK101" s="271"/>
      <c r="BL101" s="271"/>
      <c r="BM101" s="369"/>
      <c r="BN101" s="273"/>
      <c r="BO101" s="271"/>
      <c r="BP101" s="271"/>
      <c r="BQ101" s="271"/>
      <c r="BR101" s="271"/>
      <c r="BS101" s="271"/>
      <c r="BT101" s="271"/>
      <c r="BU101" s="271"/>
      <c r="BV101" s="271"/>
      <c r="BW101" s="271"/>
      <c r="BX101" s="271"/>
      <c r="BY101" s="271"/>
      <c r="BZ101" s="272"/>
      <c r="CA101" s="273"/>
      <c r="CB101" s="271"/>
      <c r="CC101" s="271"/>
      <c r="CD101" s="271"/>
      <c r="CE101" s="271"/>
      <c r="CF101" s="271"/>
      <c r="CG101" s="271"/>
      <c r="CH101" s="271"/>
      <c r="CI101" s="271"/>
      <c r="CJ101" s="271"/>
      <c r="CK101" s="271"/>
      <c r="CL101" s="271"/>
      <c r="CM101" s="271"/>
      <c r="CN101" s="271"/>
      <c r="CO101" s="272"/>
      <c r="CP101" s="370"/>
      <c r="CQ101" s="271"/>
      <c r="CR101" s="271"/>
      <c r="CS101" s="271"/>
      <c r="CT101" s="271"/>
      <c r="CU101" s="271"/>
      <c r="CV101" s="271"/>
      <c r="CW101" s="271"/>
      <c r="CX101" s="271"/>
      <c r="CY101" s="271"/>
      <c r="CZ101" s="271"/>
      <c r="DA101" s="271"/>
      <c r="DB101" s="271"/>
      <c r="DC101" s="271"/>
      <c r="DD101" s="371"/>
    </row>
    <row r="102" spans="1:108" s="21" customFormat="1" ht="13.5" customHeight="1" thickBot="1" x14ac:dyDescent="0.3">
      <c r="A102" s="358"/>
      <c r="B102" s="359"/>
      <c r="C102" s="359"/>
      <c r="D102" s="359"/>
      <c r="E102" s="359"/>
      <c r="F102" s="359"/>
      <c r="G102" s="359"/>
      <c r="H102" s="359"/>
      <c r="I102" s="359"/>
      <c r="J102" s="359"/>
      <c r="K102" s="359"/>
      <c r="L102" s="359"/>
      <c r="M102" s="359"/>
      <c r="N102" s="359"/>
      <c r="O102" s="359"/>
      <c r="P102" s="359"/>
      <c r="Q102" s="359"/>
      <c r="R102" s="359"/>
      <c r="S102" s="359"/>
      <c r="T102" s="359"/>
      <c r="U102" s="359"/>
      <c r="V102" s="359"/>
      <c r="W102" s="359"/>
      <c r="X102" s="361"/>
      <c r="Y102" s="364"/>
      <c r="Z102" s="359"/>
      <c r="AA102" s="359"/>
      <c r="AB102" s="359"/>
      <c r="AC102" s="359"/>
      <c r="AD102" s="359"/>
      <c r="AE102" s="359"/>
      <c r="AF102" s="359"/>
      <c r="AG102" s="359"/>
      <c r="AH102" s="359"/>
      <c r="AI102" s="359"/>
      <c r="AJ102" s="365"/>
      <c r="AK102" s="34"/>
      <c r="AL102" s="251" t="s">
        <v>122</v>
      </c>
      <c r="AM102" s="251"/>
      <c r="AN102" s="251"/>
      <c r="AO102" s="251"/>
      <c r="AP102" s="251"/>
      <c r="AQ102" s="251"/>
      <c r="AR102" s="251"/>
      <c r="AS102" s="251"/>
      <c r="AT102" s="251"/>
      <c r="AU102" s="251"/>
      <c r="AV102" s="251"/>
      <c r="AW102" s="251"/>
      <c r="AX102" s="251"/>
      <c r="AY102" s="251"/>
      <c r="AZ102" s="251"/>
      <c r="BA102" s="251"/>
      <c r="BB102" s="372"/>
      <c r="BC102" s="373"/>
      <c r="BD102" s="374"/>
      <c r="BE102" s="374"/>
      <c r="BF102" s="374"/>
      <c r="BG102" s="374"/>
      <c r="BH102" s="374"/>
      <c r="BI102" s="374"/>
      <c r="BJ102" s="374"/>
      <c r="BK102" s="374"/>
      <c r="BL102" s="374"/>
      <c r="BM102" s="257"/>
      <c r="BN102" s="375"/>
      <c r="BO102" s="374"/>
      <c r="BP102" s="374"/>
      <c r="BQ102" s="374"/>
      <c r="BR102" s="374"/>
      <c r="BS102" s="374"/>
      <c r="BT102" s="374"/>
      <c r="BU102" s="374"/>
      <c r="BV102" s="374"/>
      <c r="BW102" s="374"/>
      <c r="BX102" s="374"/>
      <c r="BY102" s="374"/>
      <c r="BZ102" s="376"/>
      <c r="CA102" s="375"/>
      <c r="CB102" s="374"/>
      <c r="CC102" s="374"/>
      <c r="CD102" s="374"/>
      <c r="CE102" s="374"/>
      <c r="CF102" s="374"/>
      <c r="CG102" s="374"/>
      <c r="CH102" s="374"/>
      <c r="CI102" s="374"/>
      <c r="CJ102" s="374"/>
      <c r="CK102" s="374"/>
      <c r="CL102" s="374"/>
      <c r="CM102" s="374"/>
      <c r="CN102" s="374"/>
      <c r="CO102" s="376"/>
      <c r="CP102" s="256"/>
      <c r="CQ102" s="374"/>
      <c r="CR102" s="374"/>
      <c r="CS102" s="374"/>
      <c r="CT102" s="374"/>
      <c r="CU102" s="374"/>
      <c r="CV102" s="374"/>
      <c r="CW102" s="374"/>
      <c r="CX102" s="374"/>
      <c r="CY102" s="374"/>
      <c r="CZ102" s="374"/>
      <c r="DA102" s="374"/>
      <c r="DB102" s="374"/>
      <c r="DC102" s="374"/>
      <c r="DD102" s="377"/>
    </row>
    <row r="103" spans="1:108" s="21" customFormat="1" ht="12" customHeight="1" thickBot="1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</row>
    <row r="104" spans="1:108" s="21" customFormat="1" ht="21" customHeight="1" thickTop="1" x14ac:dyDescent="0.25">
      <c r="A104" s="327" t="s">
        <v>123</v>
      </c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7" t="s">
        <v>124</v>
      </c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1"/>
      <c r="AQ104" s="327" t="s">
        <v>125</v>
      </c>
      <c r="AR104" s="380"/>
      <c r="AS104" s="380"/>
      <c r="AT104" s="380"/>
      <c r="AU104" s="380"/>
      <c r="AV104" s="380"/>
      <c r="AW104" s="380"/>
      <c r="AX104" s="380"/>
      <c r="AY104" s="380"/>
      <c r="AZ104" s="380"/>
      <c r="BA104" s="381"/>
      <c r="BB104" s="327" t="s">
        <v>126</v>
      </c>
      <c r="BC104" s="328"/>
      <c r="BD104" s="328"/>
      <c r="BE104" s="328"/>
      <c r="BF104" s="328"/>
      <c r="BG104" s="328"/>
      <c r="BH104" s="328"/>
      <c r="BI104" s="328"/>
      <c r="BJ104" s="328"/>
      <c r="BK104" s="328"/>
      <c r="BL104" s="328"/>
      <c r="BM104" s="328"/>
      <c r="BN104" s="329"/>
      <c r="BO104" s="221" t="s">
        <v>127</v>
      </c>
      <c r="BP104" s="222"/>
      <c r="BQ104" s="222"/>
      <c r="BR104" s="222"/>
      <c r="BS104" s="222"/>
      <c r="BT104" s="222"/>
      <c r="BU104" s="222"/>
      <c r="BV104" s="222"/>
      <c r="BW104" s="222"/>
      <c r="BX104" s="222"/>
      <c r="BY104" s="223"/>
      <c r="CB104" s="21" t="s">
        <v>128</v>
      </c>
      <c r="CM104" s="274"/>
      <c r="CN104" s="274"/>
      <c r="CO104" s="274"/>
      <c r="CP104" s="274"/>
      <c r="CQ104" s="274"/>
      <c r="CR104" s="274"/>
      <c r="CS104" s="274"/>
      <c r="CT104" s="274"/>
      <c r="CU104" s="274"/>
      <c r="CV104" s="274"/>
      <c r="CW104" s="274"/>
      <c r="CX104" s="274"/>
      <c r="CY104" s="274"/>
      <c r="CZ104" s="274"/>
      <c r="DA104" s="274"/>
      <c r="DB104" s="274"/>
      <c r="DC104" s="274"/>
      <c r="DD104" s="274"/>
    </row>
    <row r="105" spans="1:108" s="21" customFormat="1" ht="7.5" customHeight="1" x14ac:dyDescent="0.25">
      <c r="A105" s="378"/>
      <c r="B105" s="379"/>
      <c r="C105" s="379"/>
      <c r="D105" s="379"/>
      <c r="E105" s="379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9"/>
      <c r="S105" s="382"/>
      <c r="T105" s="383"/>
      <c r="U105" s="383"/>
      <c r="V105" s="383"/>
      <c r="W105" s="383"/>
      <c r="X105" s="383"/>
      <c r="Y105" s="383"/>
      <c r="Z105" s="383"/>
      <c r="AA105" s="383"/>
      <c r="AB105" s="383"/>
      <c r="AC105" s="383"/>
      <c r="AD105" s="383"/>
      <c r="AE105" s="383"/>
      <c r="AF105" s="383"/>
      <c r="AG105" s="383"/>
      <c r="AH105" s="383"/>
      <c r="AI105" s="383"/>
      <c r="AJ105" s="383"/>
      <c r="AK105" s="383"/>
      <c r="AL105" s="383"/>
      <c r="AM105" s="383"/>
      <c r="AN105" s="383"/>
      <c r="AO105" s="383"/>
      <c r="AP105" s="384"/>
      <c r="AQ105" s="382"/>
      <c r="AR105" s="383"/>
      <c r="AS105" s="383"/>
      <c r="AT105" s="383"/>
      <c r="AU105" s="383"/>
      <c r="AV105" s="383"/>
      <c r="AW105" s="383"/>
      <c r="AX105" s="383"/>
      <c r="AY105" s="383"/>
      <c r="AZ105" s="383"/>
      <c r="BA105" s="384"/>
      <c r="BB105" s="378"/>
      <c r="BC105" s="379"/>
      <c r="BD105" s="379"/>
      <c r="BE105" s="379"/>
      <c r="BF105" s="379"/>
      <c r="BG105" s="379"/>
      <c r="BH105" s="379"/>
      <c r="BI105" s="379"/>
      <c r="BJ105" s="379"/>
      <c r="BK105" s="379"/>
      <c r="BL105" s="379"/>
      <c r="BM105" s="379"/>
      <c r="BN105" s="388"/>
      <c r="BO105" s="224"/>
      <c r="BP105" s="225"/>
      <c r="BQ105" s="225"/>
      <c r="BR105" s="225"/>
      <c r="BS105" s="225"/>
      <c r="BT105" s="225"/>
      <c r="BU105" s="225"/>
      <c r="BV105" s="225"/>
      <c r="BW105" s="225"/>
      <c r="BX105" s="225"/>
      <c r="BY105" s="226"/>
    </row>
    <row r="106" spans="1:108" s="21" customFormat="1" ht="12.75" customHeight="1" x14ac:dyDescent="0.25">
      <c r="A106" s="378"/>
      <c r="B106" s="379"/>
      <c r="C106" s="379"/>
      <c r="D106" s="379"/>
      <c r="E106" s="379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273" t="s">
        <v>129</v>
      </c>
      <c r="T106" s="271"/>
      <c r="U106" s="271"/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 t="s">
        <v>130</v>
      </c>
      <c r="AF106" s="271"/>
      <c r="AG106" s="271"/>
      <c r="AH106" s="271"/>
      <c r="AI106" s="271"/>
      <c r="AJ106" s="271"/>
      <c r="AK106" s="271"/>
      <c r="AL106" s="271"/>
      <c r="AM106" s="271"/>
      <c r="AN106" s="271"/>
      <c r="AO106" s="271"/>
      <c r="AP106" s="272"/>
      <c r="AQ106" s="382"/>
      <c r="AR106" s="383"/>
      <c r="AS106" s="383"/>
      <c r="AT106" s="383"/>
      <c r="AU106" s="383"/>
      <c r="AV106" s="383"/>
      <c r="AW106" s="383"/>
      <c r="AX106" s="383"/>
      <c r="AY106" s="383"/>
      <c r="AZ106" s="383"/>
      <c r="BA106" s="384"/>
      <c r="BB106" s="378"/>
      <c r="BC106" s="379"/>
      <c r="BD106" s="379"/>
      <c r="BE106" s="379"/>
      <c r="BF106" s="379"/>
      <c r="BG106" s="379"/>
      <c r="BH106" s="379"/>
      <c r="BI106" s="379"/>
      <c r="BJ106" s="379"/>
      <c r="BK106" s="379"/>
      <c r="BL106" s="379"/>
      <c r="BM106" s="379"/>
      <c r="BN106" s="388"/>
      <c r="BO106" s="224"/>
      <c r="BP106" s="225"/>
      <c r="BQ106" s="225"/>
      <c r="BR106" s="225"/>
      <c r="BS106" s="225"/>
      <c r="BT106" s="225"/>
      <c r="BU106" s="225"/>
      <c r="BV106" s="225"/>
      <c r="BW106" s="225"/>
      <c r="BX106" s="225"/>
      <c r="BY106" s="226"/>
      <c r="CB106" s="274"/>
      <c r="CC106" s="274"/>
      <c r="CD106" s="274"/>
      <c r="CE106" s="274"/>
      <c r="CF106" s="274"/>
      <c r="CG106" s="274"/>
      <c r="CH106" s="274"/>
      <c r="CI106" s="274"/>
      <c r="CJ106" s="274"/>
      <c r="CK106" s="274"/>
      <c r="CL106" s="274"/>
      <c r="CM106" s="274"/>
      <c r="CN106" s="274"/>
      <c r="CO106" s="274"/>
      <c r="CP106" s="274"/>
      <c r="CQ106" s="274"/>
      <c r="CR106" s="274"/>
      <c r="CS106" s="274"/>
      <c r="CT106" s="274"/>
      <c r="CU106" s="274"/>
      <c r="CV106" s="274"/>
      <c r="CW106" s="274"/>
      <c r="CX106" s="274"/>
      <c r="CY106" s="274"/>
      <c r="CZ106" s="274"/>
      <c r="DA106" s="274"/>
      <c r="DB106" s="274"/>
      <c r="DC106" s="274"/>
      <c r="DD106" s="274"/>
    </row>
    <row r="107" spans="1:108" s="21" customFormat="1" x14ac:dyDescent="0.25">
      <c r="A107" s="330"/>
      <c r="B107" s="331"/>
      <c r="C107" s="331"/>
      <c r="D107" s="331"/>
      <c r="E107" s="331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273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/>
      <c r="AO107" s="271"/>
      <c r="AP107" s="272"/>
      <c r="AQ107" s="385"/>
      <c r="AR107" s="386"/>
      <c r="AS107" s="386"/>
      <c r="AT107" s="386"/>
      <c r="AU107" s="386"/>
      <c r="AV107" s="386"/>
      <c r="AW107" s="386"/>
      <c r="AX107" s="386"/>
      <c r="AY107" s="386"/>
      <c r="AZ107" s="386"/>
      <c r="BA107" s="387"/>
      <c r="BB107" s="330"/>
      <c r="BC107" s="331"/>
      <c r="BD107" s="331"/>
      <c r="BE107" s="331"/>
      <c r="BF107" s="331"/>
      <c r="BG107" s="331"/>
      <c r="BH107" s="331"/>
      <c r="BI107" s="331"/>
      <c r="BJ107" s="331"/>
      <c r="BK107" s="331"/>
      <c r="BL107" s="331"/>
      <c r="BM107" s="331"/>
      <c r="BN107" s="332"/>
      <c r="BO107" s="227"/>
      <c r="BP107" s="228"/>
      <c r="BQ107" s="228"/>
      <c r="BR107" s="228"/>
      <c r="BS107" s="228"/>
      <c r="BT107" s="228"/>
      <c r="BU107" s="228"/>
      <c r="BV107" s="228"/>
      <c r="BW107" s="228"/>
      <c r="BX107" s="228"/>
      <c r="BY107" s="229"/>
    </row>
    <row r="108" spans="1:108" s="21" customFormat="1" ht="12" thickBot="1" x14ac:dyDescent="0.3">
      <c r="A108" s="269">
        <v>39</v>
      </c>
      <c r="B108" s="270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19"/>
      <c r="S108" s="269">
        <v>40</v>
      </c>
      <c r="T108" s="270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>
        <v>41</v>
      </c>
      <c r="AF108" s="270"/>
      <c r="AG108" s="270"/>
      <c r="AH108" s="270"/>
      <c r="AI108" s="270"/>
      <c r="AJ108" s="270"/>
      <c r="AK108" s="270"/>
      <c r="AL108" s="270"/>
      <c r="AM108" s="270"/>
      <c r="AN108" s="270"/>
      <c r="AO108" s="270"/>
      <c r="AP108" s="318"/>
      <c r="AQ108" s="269">
        <v>42</v>
      </c>
      <c r="AR108" s="270"/>
      <c r="AS108" s="270"/>
      <c r="AT108" s="270"/>
      <c r="AU108" s="270"/>
      <c r="AV108" s="270"/>
      <c r="AW108" s="270"/>
      <c r="AX108" s="270"/>
      <c r="AY108" s="270"/>
      <c r="AZ108" s="270"/>
      <c r="BA108" s="318"/>
      <c r="BB108" s="269">
        <v>43</v>
      </c>
      <c r="BC108" s="270"/>
      <c r="BD108" s="270"/>
      <c r="BE108" s="270"/>
      <c r="BF108" s="270"/>
      <c r="BG108" s="270"/>
      <c r="BH108" s="270"/>
      <c r="BI108" s="270"/>
      <c r="BJ108" s="270"/>
      <c r="BK108" s="270"/>
      <c r="BL108" s="270"/>
      <c r="BM108" s="270"/>
      <c r="BN108" s="318"/>
      <c r="BO108" s="269">
        <v>44</v>
      </c>
      <c r="BP108" s="270"/>
      <c r="BQ108" s="270"/>
      <c r="BR108" s="270"/>
      <c r="BS108" s="270"/>
      <c r="BT108" s="270"/>
      <c r="BU108" s="270"/>
      <c r="BV108" s="270"/>
      <c r="BW108" s="270"/>
      <c r="BX108" s="270"/>
      <c r="BY108" s="318"/>
      <c r="CB108" s="274"/>
      <c r="CC108" s="274"/>
      <c r="CD108" s="274"/>
      <c r="CE108" s="274"/>
      <c r="CF108" s="274"/>
      <c r="CG108" s="274"/>
      <c r="CH108" s="274"/>
      <c r="CI108" s="274"/>
      <c r="CJ108" s="274"/>
      <c r="CK108" s="274"/>
      <c r="CL108" s="274"/>
      <c r="CM108" s="274"/>
      <c r="CN108" s="274"/>
      <c r="CO108" s="274"/>
      <c r="CP108" s="274"/>
      <c r="CQ108" s="274"/>
      <c r="CR108" s="274"/>
      <c r="CS108" s="274"/>
      <c r="CT108" s="274"/>
      <c r="CU108" s="274"/>
      <c r="CV108" s="274"/>
      <c r="CW108" s="274"/>
      <c r="CX108" s="274"/>
      <c r="CY108" s="274"/>
      <c r="CZ108" s="274"/>
      <c r="DA108" s="274"/>
      <c r="DB108" s="274"/>
      <c r="DC108" s="274"/>
      <c r="DD108" s="274"/>
    </row>
    <row r="109" spans="1:108" s="21" customFormat="1" ht="24" customHeight="1" x14ac:dyDescent="0.25">
      <c r="A109" s="356"/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60"/>
      <c r="S109" s="362"/>
      <c r="T109" s="357"/>
      <c r="U109" s="357"/>
      <c r="V109" s="357"/>
      <c r="W109" s="357"/>
      <c r="X109" s="357"/>
      <c r="Y109" s="357"/>
      <c r="Z109" s="357"/>
      <c r="AA109" s="357"/>
      <c r="AB109" s="357"/>
      <c r="AC109" s="357"/>
      <c r="AD109" s="357"/>
      <c r="AE109" s="357"/>
      <c r="AF109" s="357"/>
      <c r="AG109" s="357"/>
      <c r="AH109" s="357"/>
      <c r="AI109" s="357"/>
      <c r="AJ109" s="357"/>
      <c r="AK109" s="357"/>
      <c r="AL109" s="357"/>
      <c r="AM109" s="357"/>
      <c r="AN109" s="357"/>
      <c r="AO109" s="357"/>
      <c r="AP109" s="389"/>
      <c r="AQ109" s="362"/>
      <c r="AR109" s="357"/>
      <c r="AS109" s="357"/>
      <c r="AT109" s="357"/>
      <c r="AU109" s="357"/>
      <c r="AV109" s="357"/>
      <c r="AW109" s="357"/>
      <c r="AX109" s="357"/>
      <c r="AY109" s="357"/>
      <c r="AZ109" s="357"/>
      <c r="BA109" s="389"/>
      <c r="BB109" s="362"/>
      <c r="BC109" s="357"/>
      <c r="BD109" s="357"/>
      <c r="BE109" s="357"/>
      <c r="BF109" s="357"/>
      <c r="BG109" s="357"/>
      <c r="BH109" s="357"/>
      <c r="BI109" s="357"/>
      <c r="BJ109" s="357"/>
      <c r="BK109" s="357"/>
      <c r="BL109" s="357"/>
      <c r="BM109" s="357"/>
      <c r="BN109" s="389"/>
      <c r="BO109" s="362"/>
      <c r="BP109" s="357"/>
      <c r="BQ109" s="357"/>
      <c r="BR109" s="357"/>
      <c r="BS109" s="357"/>
      <c r="BT109" s="357"/>
      <c r="BU109" s="357"/>
      <c r="BV109" s="357"/>
      <c r="BW109" s="357"/>
      <c r="BX109" s="357"/>
      <c r="BY109" s="363"/>
      <c r="CB109" s="274"/>
      <c r="CC109" s="274"/>
      <c r="CD109" s="274"/>
      <c r="CE109" s="274"/>
      <c r="CF109" s="274"/>
      <c r="CG109" s="274"/>
      <c r="CH109" s="274"/>
      <c r="CI109" s="274"/>
      <c r="CJ109" s="274"/>
      <c r="CK109" s="274"/>
      <c r="CL109" s="274"/>
      <c r="CM109" s="274"/>
      <c r="CN109" s="274"/>
      <c r="CO109" s="274"/>
      <c r="CP109" s="274"/>
      <c r="CQ109" s="274"/>
      <c r="CR109" s="274"/>
      <c r="CS109" s="274"/>
      <c r="CT109" s="274"/>
      <c r="CU109" s="274"/>
      <c r="CV109" s="274"/>
      <c r="CW109" s="274"/>
      <c r="CX109" s="274"/>
      <c r="CY109" s="274"/>
      <c r="CZ109" s="274"/>
      <c r="DA109" s="274"/>
      <c r="DB109" s="274"/>
      <c r="DC109" s="274"/>
      <c r="DD109" s="274"/>
    </row>
    <row r="110" spans="1:108" s="21" customFormat="1" ht="24" customHeight="1" x14ac:dyDescent="0.25">
      <c r="A110" s="391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0"/>
      <c r="P110" s="290"/>
      <c r="Q110" s="290"/>
      <c r="R110" s="392"/>
      <c r="S110" s="289"/>
      <c r="T110" s="290"/>
      <c r="U110" s="290"/>
      <c r="V110" s="290"/>
      <c r="W110" s="290"/>
      <c r="X110" s="290"/>
      <c r="Y110" s="290"/>
      <c r="Z110" s="290"/>
      <c r="AA110" s="290"/>
      <c r="AB110" s="290"/>
      <c r="AC110" s="290"/>
      <c r="AD110" s="290"/>
      <c r="AE110" s="290"/>
      <c r="AF110" s="290"/>
      <c r="AG110" s="290"/>
      <c r="AH110" s="290"/>
      <c r="AI110" s="290"/>
      <c r="AJ110" s="290"/>
      <c r="AK110" s="290"/>
      <c r="AL110" s="290"/>
      <c r="AM110" s="290"/>
      <c r="AN110" s="290"/>
      <c r="AO110" s="290"/>
      <c r="AP110" s="291"/>
      <c r="AQ110" s="289"/>
      <c r="AR110" s="290"/>
      <c r="AS110" s="290"/>
      <c r="AT110" s="290"/>
      <c r="AU110" s="290"/>
      <c r="AV110" s="290"/>
      <c r="AW110" s="290"/>
      <c r="AX110" s="290"/>
      <c r="AY110" s="290"/>
      <c r="AZ110" s="290"/>
      <c r="BA110" s="291"/>
      <c r="BB110" s="289"/>
      <c r="BC110" s="290"/>
      <c r="BD110" s="290"/>
      <c r="BE110" s="290"/>
      <c r="BF110" s="290"/>
      <c r="BG110" s="290"/>
      <c r="BH110" s="290"/>
      <c r="BI110" s="290"/>
      <c r="BJ110" s="290"/>
      <c r="BK110" s="290"/>
      <c r="BL110" s="290"/>
      <c r="BM110" s="290"/>
      <c r="BN110" s="291"/>
      <c r="BO110" s="289"/>
      <c r="BP110" s="290"/>
      <c r="BQ110" s="290"/>
      <c r="BR110" s="290"/>
      <c r="BS110" s="290"/>
      <c r="BT110" s="290"/>
      <c r="BU110" s="290"/>
      <c r="BV110" s="290"/>
      <c r="BW110" s="290"/>
      <c r="BX110" s="290"/>
      <c r="BY110" s="394"/>
      <c r="CB110" s="21" t="s">
        <v>131</v>
      </c>
      <c r="CO110" s="390"/>
      <c r="CP110" s="390"/>
      <c r="CQ110" s="390"/>
      <c r="CR110" s="390"/>
      <c r="CS110" s="390"/>
      <c r="CT110" s="390"/>
      <c r="CU110" s="390"/>
      <c r="CV110" s="390"/>
      <c r="CW110" s="390"/>
      <c r="CX110" s="390"/>
      <c r="CY110" s="390"/>
      <c r="CZ110" s="390"/>
      <c r="DA110" s="390"/>
      <c r="DB110" s="390"/>
      <c r="DC110" s="390"/>
      <c r="DD110" s="390"/>
    </row>
    <row r="111" spans="1:108" s="21" customFormat="1" x14ac:dyDescent="0.25">
      <c r="A111" s="391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392"/>
      <c r="S111" s="289"/>
      <c r="T111" s="290"/>
      <c r="U111" s="290"/>
      <c r="V111" s="290"/>
      <c r="W111" s="290"/>
      <c r="X111" s="290"/>
      <c r="Y111" s="290"/>
      <c r="Z111" s="290"/>
      <c r="AA111" s="290"/>
      <c r="AB111" s="290"/>
      <c r="AC111" s="290"/>
      <c r="AD111" s="290"/>
      <c r="AE111" s="290"/>
      <c r="AF111" s="290"/>
      <c r="AG111" s="290"/>
      <c r="AH111" s="290"/>
      <c r="AI111" s="290"/>
      <c r="AJ111" s="290"/>
      <c r="AK111" s="290"/>
      <c r="AL111" s="290"/>
      <c r="AM111" s="290"/>
      <c r="AN111" s="290"/>
      <c r="AO111" s="290"/>
      <c r="AP111" s="291"/>
      <c r="AQ111" s="289"/>
      <c r="AR111" s="290"/>
      <c r="AS111" s="290"/>
      <c r="AT111" s="290"/>
      <c r="AU111" s="290"/>
      <c r="AV111" s="290"/>
      <c r="AW111" s="290"/>
      <c r="AX111" s="290"/>
      <c r="AY111" s="290"/>
      <c r="AZ111" s="290"/>
      <c r="BA111" s="291"/>
      <c r="BB111" s="289"/>
      <c r="BC111" s="290"/>
      <c r="BD111" s="290"/>
      <c r="BE111" s="290"/>
      <c r="BF111" s="290"/>
      <c r="BG111" s="290"/>
      <c r="BH111" s="290"/>
      <c r="BI111" s="290"/>
      <c r="BJ111" s="290"/>
      <c r="BK111" s="290"/>
      <c r="BL111" s="290"/>
      <c r="BM111" s="290"/>
      <c r="BN111" s="291"/>
      <c r="BO111" s="289"/>
      <c r="BP111" s="290"/>
      <c r="BQ111" s="290"/>
      <c r="BR111" s="290"/>
      <c r="BS111" s="290"/>
      <c r="BT111" s="290"/>
      <c r="BU111" s="290"/>
      <c r="BV111" s="290"/>
      <c r="BW111" s="290"/>
      <c r="BX111" s="290"/>
      <c r="BY111" s="394"/>
      <c r="CO111" s="206" t="s">
        <v>70</v>
      </c>
      <c r="CP111" s="206"/>
      <c r="CQ111" s="206"/>
      <c r="CR111" s="206"/>
      <c r="CS111" s="206"/>
      <c r="CT111" s="206"/>
      <c r="CU111" s="206"/>
      <c r="CV111" s="206"/>
      <c r="CW111" s="206"/>
      <c r="CX111" s="206"/>
      <c r="CY111" s="206"/>
      <c r="CZ111" s="206"/>
      <c r="DA111" s="206"/>
      <c r="DB111" s="206"/>
      <c r="DC111" s="206"/>
      <c r="DD111" s="206"/>
    </row>
    <row r="112" spans="1:108" s="21" customFormat="1" ht="12" thickBot="1" x14ac:dyDescent="0.3">
      <c r="A112" s="358"/>
      <c r="B112" s="359"/>
      <c r="C112" s="359"/>
      <c r="D112" s="359"/>
      <c r="E112" s="359"/>
      <c r="F112" s="359"/>
      <c r="G112" s="359"/>
      <c r="H112" s="359"/>
      <c r="I112" s="359"/>
      <c r="J112" s="359"/>
      <c r="K112" s="359"/>
      <c r="L112" s="359"/>
      <c r="M112" s="359"/>
      <c r="N112" s="359"/>
      <c r="O112" s="359"/>
      <c r="P112" s="359"/>
      <c r="Q112" s="359"/>
      <c r="R112" s="361"/>
      <c r="S112" s="364"/>
      <c r="T112" s="359"/>
      <c r="U112" s="359"/>
      <c r="V112" s="359"/>
      <c r="W112" s="359"/>
      <c r="X112" s="359"/>
      <c r="Y112" s="359"/>
      <c r="Z112" s="359"/>
      <c r="AA112" s="359"/>
      <c r="AB112" s="359"/>
      <c r="AC112" s="359"/>
      <c r="AD112" s="359"/>
      <c r="AE112" s="359"/>
      <c r="AF112" s="359"/>
      <c r="AG112" s="359"/>
      <c r="AH112" s="359"/>
      <c r="AI112" s="359"/>
      <c r="AJ112" s="359"/>
      <c r="AK112" s="359"/>
      <c r="AL112" s="359"/>
      <c r="AM112" s="359"/>
      <c r="AN112" s="359"/>
      <c r="AO112" s="359"/>
      <c r="AP112" s="393"/>
      <c r="AQ112" s="364"/>
      <c r="AR112" s="359"/>
      <c r="AS112" s="359"/>
      <c r="AT112" s="359"/>
      <c r="AU112" s="359"/>
      <c r="AV112" s="359"/>
      <c r="AW112" s="359"/>
      <c r="AX112" s="359"/>
      <c r="AY112" s="359"/>
      <c r="AZ112" s="359"/>
      <c r="BA112" s="393"/>
      <c r="BB112" s="364"/>
      <c r="BC112" s="359"/>
      <c r="BD112" s="359"/>
      <c r="BE112" s="359"/>
      <c r="BF112" s="359"/>
      <c r="BG112" s="359"/>
      <c r="BH112" s="359"/>
      <c r="BI112" s="359"/>
      <c r="BJ112" s="359"/>
      <c r="BK112" s="359"/>
      <c r="BL112" s="359"/>
      <c r="BM112" s="359"/>
      <c r="BN112" s="393"/>
      <c r="BO112" s="364"/>
      <c r="BP112" s="359"/>
      <c r="BQ112" s="359"/>
      <c r="BR112" s="359"/>
      <c r="BS112" s="359"/>
      <c r="BT112" s="359"/>
      <c r="BU112" s="359"/>
      <c r="BV112" s="359"/>
      <c r="BW112" s="359"/>
      <c r="BX112" s="359"/>
      <c r="BY112" s="365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  <c r="CM112" s="202"/>
      <c r="CN112" s="202"/>
      <c r="CO112" s="202"/>
      <c r="CP112" s="202"/>
      <c r="CQ112" s="202"/>
      <c r="CR112" s="202"/>
      <c r="CS112" s="202"/>
      <c r="CT112" s="202"/>
      <c r="CU112" s="202"/>
      <c r="CV112" s="202"/>
      <c r="CW112" s="202"/>
      <c r="CX112" s="202"/>
      <c r="CY112" s="202"/>
      <c r="CZ112" s="202"/>
      <c r="DA112" s="202"/>
      <c r="DB112" s="202"/>
      <c r="DC112" s="202"/>
      <c r="DD112" s="202"/>
    </row>
    <row r="113" spans="80:108" s="21" customFormat="1" x14ac:dyDescent="0.25">
      <c r="CB113" s="206" t="s">
        <v>71</v>
      </c>
      <c r="CC113" s="206"/>
      <c r="CD113" s="206"/>
      <c r="CE113" s="206"/>
      <c r="CF113" s="206"/>
      <c r="CG113" s="206"/>
      <c r="CH113" s="206"/>
      <c r="CI113" s="206"/>
      <c r="CJ113" s="206"/>
      <c r="CK113" s="206"/>
      <c r="CL113" s="206"/>
      <c r="CM113" s="206"/>
      <c r="CN113" s="206"/>
      <c r="CO113" s="206"/>
      <c r="CP113" s="206"/>
      <c r="CQ113" s="206"/>
      <c r="CR113" s="206"/>
      <c r="CS113" s="206"/>
      <c r="CT113" s="206"/>
      <c r="CU113" s="206"/>
      <c r="CV113" s="206"/>
      <c r="CW113" s="206"/>
      <c r="CX113" s="206"/>
      <c r="CY113" s="206"/>
      <c r="CZ113" s="206"/>
      <c r="DA113" s="206"/>
      <c r="DB113" s="206"/>
      <c r="DC113" s="206"/>
      <c r="DD113" s="206"/>
    </row>
  </sheetData>
  <mergeCells count="302">
    <mergeCell ref="CB113:DD113"/>
    <mergeCell ref="CO110:DD110"/>
    <mergeCell ref="A111:R112"/>
    <mergeCell ref="S111:AD112"/>
    <mergeCell ref="AE111:AP112"/>
    <mergeCell ref="AQ111:BA112"/>
    <mergeCell ref="BB111:BN112"/>
    <mergeCell ref="BO111:BY112"/>
    <mergeCell ref="CO111:DD111"/>
    <mergeCell ref="CB112:DD112"/>
    <mergeCell ref="A110:R110"/>
    <mergeCell ref="S110:AD110"/>
    <mergeCell ref="AE110:AP110"/>
    <mergeCell ref="AQ110:BA110"/>
    <mergeCell ref="BB110:BN110"/>
    <mergeCell ref="BO110:BY110"/>
    <mergeCell ref="A104:R107"/>
    <mergeCell ref="S104:AP105"/>
    <mergeCell ref="AQ104:BA107"/>
    <mergeCell ref="BB104:BN107"/>
    <mergeCell ref="BO104:BY107"/>
    <mergeCell ref="CB108:DD108"/>
    <mergeCell ref="A109:R109"/>
    <mergeCell ref="S109:AD109"/>
    <mergeCell ref="AE109:AP109"/>
    <mergeCell ref="AQ109:BA109"/>
    <mergeCell ref="BB109:BN109"/>
    <mergeCell ref="BO109:BY109"/>
    <mergeCell ref="CB109:DD109"/>
    <mergeCell ref="CM104:DD104"/>
    <mergeCell ref="S106:AD107"/>
    <mergeCell ref="AE106:AP107"/>
    <mergeCell ref="CB106:DD106"/>
    <mergeCell ref="A108:R108"/>
    <mergeCell ref="S108:AD108"/>
    <mergeCell ref="AE108:AP108"/>
    <mergeCell ref="AQ108:BA108"/>
    <mergeCell ref="BB108:BN108"/>
    <mergeCell ref="BO108:BY108"/>
    <mergeCell ref="A100:L100"/>
    <mergeCell ref="M100:X100"/>
    <mergeCell ref="Y100:AJ100"/>
    <mergeCell ref="AM100:BB100"/>
    <mergeCell ref="BC100:BM100"/>
    <mergeCell ref="BN100:BZ100"/>
    <mergeCell ref="CA100:CO100"/>
    <mergeCell ref="CP100:DD100"/>
    <mergeCell ref="A101:L102"/>
    <mergeCell ref="M101:X102"/>
    <mergeCell ref="Y101:AJ102"/>
    <mergeCell ref="AL101:BB101"/>
    <mergeCell ref="BC101:BM101"/>
    <mergeCell ref="BN101:BZ101"/>
    <mergeCell ref="CA101:CO101"/>
    <mergeCell ref="CP101:DD101"/>
    <mergeCell ref="AL102:BB102"/>
    <mergeCell ref="BC102:BM102"/>
    <mergeCell ref="BN102:BZ102"/>
    <mergeCell ref="CA102:CO102"/>
    <mergeCell ref="CP102:DD102"/>
    <mergeCell ref="A96:X97"/>
    <mergeCell ref="Y96:AJ99"/>
    <mergeCell ref="AK96:BB99"/>
    <mergeCell ref="BC96:BM98"/>
    <mergeCell ref="BN96:BZ98"/>
    <mergeCell ref="CA96:CO98"/>
    <mergeCell ref="CP96:DD98"/>
    <mergeCell ref="A98:L99"/>
    <mergeCell ref="M98:X99"/>
    <mergeCell ref="BC99:BM99"/>
    <mergeCell ref="BN99:BZ99"/>
    <mergeCell ref="CA99:CO99"/>
    <mergeCell ref="CP99:DD99"/>
    <mergeCell ref="A93:M93"/>
    <mergeCell ref="N93:Z93"/>
    <mergeCell ref="AA93:AM93"/>
    <mergeCell ref="AN93:AZ93"/>
    <mergeCell ref="BA93:BM93"/>
    <mergeCell ref="BN93:BZ93"/>
    <mergeCell ref="CA93:CO93"/>
    <mergeCell ref="CP93:DD93"/>
    <mergeCell ref="A94:M94"/>
    <mergeCell ref="N94:Z94"/>
    <mergeCell ref="AA94:AM94"/>
    <mergeCell ref="AN94:AZ94"/>
    <mergeCell ref="BA94:BM94"/>
    <mergeCell ref="BN94:BZ94"/>
    <mergeCell ref="CA94:CO94"/>
    <mergeCell ref="CP94:DD94"/>
    <mergeCell ref="A87:N88"/>
    <mergeCell ref="O87:AF88"/>
    <mergeCell ref="AG87:BD88"/>
    <mergeCell ref="BG87:DD87"/>
    <mergeCell ref="A89:DD89"/>
    <mergeCell ref="A91:BM91"/>
    <mergeCell ref="BN91:BZ92"/>
    <mergeCell ref="CA91:DD91"/>
    <mergeCell ref="A92:M92"/>
    <mergeCell ref="N92:Z92"/>
    <mergeCell ref="AA92:AM92"/>
    <mergeCell ref="AN92:AZ92"/>
    <mergeCell ref="BA92:BM92"/>
    <mergeCell ref="CA92:CO92"/>
    <mergeCell ref="CP92:DD92"/>
    <mergeCell ref="A84:N84"/>
    <mergeCell ref="O84:AF84"/>
    <mergeCell ref="AG84:BD84"/>
    <mergeCell ref="CI84:DD84"/>
    <mergeCell ref="A85:N86"/>
    <mergeCell ref="O85:AF86"/>
    <mergeCell ref="AG85:BD86"/>
    <mergeCell ref="BG85:DD85"/>
    <mergeCell ref="A80:AF81"/>
    <mergeCell ref="AG80:BD83"/>
    <mergeCell ref="CA81:DD81"/>
    <mergeCell ref="A82:N83"/>
    <mergeCell ref="O82:AF83"/>
    <mergeCell ref="BG82:DD82"/>
    <mergeCell ref="A78:N78"/>
    <mergeCell ref="O78:AH78"/>
    <mergeCell ref="AI78:BB78"/>
    <mergeCell ref="BC78:BT78"/>
    <mergeCell ref="BU78:CL78"/>
    <mergeCell ref="CM78:DD78"/>
    <mergeCell ref="A77:N77"/>
    <mergeCell ref="O77:AH77"/>
    <mergeCell ref="AI77:BB77"/>
    <mergeCell ref="BC77:BT77"/>
    <mergeCell ref="BU77:CL77"/>
    <mergeCell ref="CM77:DD77"/>
    <mergeCell ref="A76:N76"/>
    <mergeCell ref="O76:AH76"/>
    <mergeCell ref="AI76:BB76"/>
    <mergeCell ref="BC76:BT76"/>
    <mergeCell ref="BU76:CL76"/>
    <mergeCell ref="CM76:DD76"/>
    <mergeCell ref="A71:DD71"/>
    <mergeCell ref="A73:N75"/>
    <mergeCell ref="O73:AH75"/>
    <mergeCell ref="AI73:BB75"/>
    <mergeCell ref="BC73:DD73"/>
    <mergeCell ref="BC74:BT75"/>
    <mergeCell ref="BU74:CL75"/>
    <mergeCell ref="CM74:DD75"/>
    <mergeCell ref="I68:AB68"/>
    <mergeCell ref="AE68:AN68"/>
    <mergeCell ref="AQ68:BK68"/>
    <mergeCell ref="BX68:CG68"/>
    <mergeCell ref="CJ68:DD68"/>
    <mergeCell ref="A69:N70"/>
    <mergeCell ref="Q69:X70"/>
    <mergeCell ref="BM69:BT70"/>
    <mergeCell ref="Y70:BH70"/>
    <mergeCell ref="BU70:DD70"/>
    <mergeCell ref="I67:AB67"/>
    <mergeCell ref="AE67:AN67"/>
    <mergeCell ref="AQ67:BK67"/>
    <mergeCell ref="BL67:BW67"/>
    <mergeCell ref="BX67:CG67"/>
    <mergeCell ref="CJ67:DD67"/>
    <mergeCell ref="N61:BW61"/>
    <mergeCell ref="BX61:CC61"/>
    <mergeCell ref="CD61:CR61"/>
    <mergeCell ref="N62:BW62"/>
    <mergeCell ref="BF65:BW66"/>
    <mergeCell ref="BX66:DD66"/>
    <mergeCell ref="S55:AW55"/>
    <mergeCell ref="AZ55:BX55"/>
    <mergeCell ref="CA55:CZ55"/>
    <mergeCell ref="S56:AW56"/>
    <mergeCell ref="AZ56:BX56"/>
    <mergeCell ref="CA56:CZ56"/>
    <mergeCell ref="BY49:CI51"/>
    <mergeCell ref="CJ49:CZ51"/>
    <mergeCell ref="H60:T60"/>
    <mergeCell ref="W60:AG60"/>
    <mergeCell ref="AJ60:AY60"/>
    <mergeCell ref="BI60:BU60"/>
    <mergeCell ref="BX60:CH60"/>
    <mergeCell ref="CK60:CZ60"/>
    <mergeCell ref="AL57:BJ57"/>
    <mergeCell ref="CA57:CZ57"/>
    <mergeCell ref="AL58:BJ58"/>
    <mergeCell ref="CA58:CZ58"/>
    <mergeCell ref="H59:T59"/>
    <mergeCell ref="W59:AG59"/>
    <mergeCell ref="AJ59:AY59"/>
    <mergeCell ref="BI59:BU59"/>
    <mergeCell ref="BX59:CH59"/>
    <mergeCell ref="CK59:CZ59"/>
    <mergeCell ref="B50:H50"/>
    <mergeCell ref="J50:BX50"/>
    <mergeCell ref="J51:BX51"/>
    <mergeCell ref="BY52:CI54"/>
    <mergeCell ref="CJ52:CZ54"/>
    <mergeCell ref="J53:AW53"/>
    <mergeCell ref="AX53:BF53"/>
    <mergeCell ref="BG53:BQ53"/>
    <mergeCell ref="U47:AH47"/>
    <mergeCell ref="AI47:AW47"/>
    <mergeCell ref="AX47:BF47"/>
    <mergeCell ref="BG47:BQ47"/>
    <mergeCell ref="BR47:CB47"/>
    <mergeCell ref="CC47:CZ47"/>
    <mergeCell ref="BR53:BX53"/>
    <mergeCell ref="CJ41:CZ41"/>
    <mergeCell ref="F42:T42"/>
    <mergeCell ref="U42:AA42"/>
    <mergeCell ref="AB42:AJ42"/>
    <mergeCell ref="AK42:AR42"/>
    <mergeCell ref="AS42:BA42"/>
    <mergeCell ref="BB42:BJ42"/>
    <mergeCell ref="U46:AH46"/>
    <mergeCell ref="AI46:AW46"/>
    <mergeCell ref="AX46:BF46"/>
    <mergeCell ref="BG46:BQ46"/>
    <mergeCell ref="BR46:CB46"/>
    <mergeCell ref="CC46:CZ46"/>
    <mergeCell ref="BK42:BS42"/>
    <mergeCell ref="BT42:CI42"/>
    <mergeCell ref="CJ42:CZ42"/>
    <mergeCell ref="U44:AH45"/>
    <mergeCell ref="AI44:AW45"/>
    <mergeCell ref="AX44:BF45"/>
    <mergeCell ref="BG44:BQ45"/>
    <mergeCell ref="BR44:CB45"/>
    <mergeCell ref="CC44:CZ45"/>
    <mergeCell ref="A41:E42"/>
    <mergeCell ref="F41:T41"/>
    <mergeCell ref="U41:AA41"/>
    <mergeCell ref="AB41:AJ41"/>
    <mergeCell ref="AK41:AR41"/>
    <mergeCell ref="AS41:BA41"/>
    <mergeCell ref="BB41:BJ41"/>
    <mergeCell ref="BK41:BS41"/>
    <mergeCell ref="BT41:CI41"/>
    <mergeCell ref="A40:T40"/>
    <mergeCell ref="U40:AA40"/>
    <mergeCell ref="AB40:AJ40"/>
    <mergeCell ref="AK40:AR40"/>
    <mergeCell ref="AS40:BA40"/>
    <mergeCell ref="BB40:BJ40"/>
    <mergeCell ref="BK40:BS40"/>
    <mergeCell ref="BT40:CI40"/>
    <mergeCell ref="CJ40:CZ40"/>
    <mergeCell ref="M33:CZ33"/>
    <mergeCell ref="M34:CZ34"/>
    <mergeCell ref="M35:AE35"/>
    <mergeCell ref="AV35:BN35"/>
    <mergeCell ref="CE35:CW35"/>
    <mergeCell ref="A37:T39"/>
    <mergeCell ref="U37:AA39"/>
    <mergeCell ref="AB37:AJ39"/>
    <mergeCell ref="AK37:AR39"/>
    <mergeCell ref="AS37:BS37"/>
    <mergeCell ref="BT37:CI39"/>
    <mergeCell ref="CJ37:CZ39"/>
    <mergeCell ref="AS38:BA39"/>
    <mergeCell ref="BB38:BJ39"/>
    <mergeCell ref="BK38:BS39"/>
    <mergeCell ref="CQ26:CZ28"/>
    <mergeCell ref="AY27:BV27"/>
    <mergeCell ref="AG29:AN30"/>
    <mergeCell ref="AO29:BJ30"/>
    <mergeCell ref="CA29:CK31"/>
    <mergeCell ref="CL29:CZ31"/>
    <mergeCell ref="CQ18:CU19"/>
    <mergeCell ref="CV18:CZ19"/>
    <mergeCell ref="L19:BR19"/>
    <mergeCell ref="R21:CZ21"/>
    <mergeCell ref="R22:CZ22"/>
    <mergeCell ref="L23:BZ24"/>
    <mergeCell ref="CQ23:CZ25"/>
    <mergeCell ref="L25:BZ25"/>
    <mergeCell ref="O13:CP13"/>
    <mergeCell ref="O14:CP14"/>
    <mergeCell ref="L16:CP16"/>
    <mergeCell ref="L17:CP17"/>
    <mergeCell ref="L18:BR18"/>
    <mergeCell ref="BU18:CJ19"/>
    <mergeCell ref="CL18:CP19"/>
    <mergeCell ref="AJ9:CP9"/>
    <mergeCell ref="AJ10:CP10"/>
    <mergeCell ref="K11:AY11"/>
    <mergeCell ref="BC11:CP11"/>
    <mergeCell ref="K12:AY12"/>
    <mergeCell ref="BC12:CP12"/>
    <mergeCell ref="CS5:CV5"/>
    <mergeCell ref="CW5:CZ5"/>
    <mergeCell ref="DA5:DD5"/>
    <mergeCell ref="N6:CF6"/>
    <mergeCell ref="CS6:DD6"/>
    <mergeCell ref="S7:AF7"/>
    <mergeCell ref="BK7:BX7"/>
    <mergeCell ref="CS7:DD7"/>
    <mergeCell ref="BT3:CA3"/>
    <mergeCell ref="CS3:DD3"/>
    <mergeCell ref="AI4:AL4"/>
    <mergeCell ref="AO4:AZ4"/>
    <mergeCell ref="BA4:BD4"/>
    <mergeCell ref="BE4:BH4"/>
    <mergeCell ref="CS4:DD4"/>
  </mergeCells>
  <hyperlinks>
    <hyperlink ref="DE2" location="start!A1" display="На главную" xr:uid="{C0C6AD48-9E08-4195-9A84-2E0C3E196058}"/>
    <hyperlink ref="DE3" location="data!A1" display="К данным" xr:uid="{0BD150DC-4AC3-40DD-824C-EF6C5903DCC0}"/>
  </hyperlinks>
  <pageMargins left="0.78740157480314965" right="0.39370078740157483" top="0.59055118110236227" bottom="0.39370078740157483" header="0.19685039370078741" footer="0.19685039370078741"/>
  <pageSetup paperSize="9" scale="75" fitToHeight="0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62" max="10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start</vt:lpstr>
      <vt:lpstr>data</vt:lpstr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alinaaleks</dc:creator>
  <cp:lastModifiedBy>Alina Aleks</cp:lastModifiedBy>
  <cp:lastPrinted>2026-06-07T08:38:05Z</cp:lastPrinted>
  <dcterms:created xsi:type="dcterms:W3CDTF">2015-06-05T18:17:20Z</dcterms:created>
  <dcterms:modified xsi:type="dcterms:W3CDTF">2026-06-07T11:47:10Z</dcterms:modified>
</cp:coreProperties>
</file>